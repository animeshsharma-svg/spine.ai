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L46" headerRowCount="1">
  <autoFilter ref="A1:L46"/>
  <tableColumns count="12">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s>
  <tableStyleInfo name="TableStyleLight1" showRowStripes="0"/>
</table>
</file>

<file path=xl/tables/table2.xml><?xml version="1.0" encoding="utf-8"?>
<table xmlns="http://schemas.openxmlformats.org/spreadsheetml/2006/main" id="2" name="Confirm" displayName="Confirm" ref="A1:F8" headerRowCount="1">
  <autoFilter ref="A1:F8"/>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COUNTA(Bugs!A2:A46)</f>
        <v/>
      </c>
    </row>
    <row r="6">
      <c r="A6" s="4" t="inlineStr">
        <is>
          <t>By severity</t>
        </is>
      </c>
    </row>
    <row r="7">
      <c r="A7" s="5" t="inlineStr">
        <is>
          <t>Critical</t>
        </is>
      </c>
      <c r="B7" s="5">
        <f>COUNTIF(Bugs!I2:I46,A7)</f>
        <v/>
      </c>
    </row>
    <row r="8">
      <c r="A8" s="5" t="inlineStr">
        <is>
          <t>High</t>
        </is>
      </c>
      <c r="B8" s="5">
        <f>COUNTIF(Bugs!I2:I46,A8)</f>
        <v/>
      </c>
    </row>
    <row r="9">
      <c r="A9" s="5" t="inlineStr">
        <is>
          <t>Medium</t>
        </is>
      </c>
      <c r="B9" s="5">
        <f>COUNTIF(Bugs!I2:I46,A9)</f>
        <v/>
      </c>
    </row>
    <row r="10">
      <c r="A10" s="5" t="inlineStr">
        <is>
          <t>Low</t>
        </is>
      </c>
      <c r="B10" s="5">
        <f>COUNTIF(Bugs!I2:I46,A10)</f>
        <v/>
      </c>
    </row>
    <row r="12">
      <c r="A12" s="4" t="inlineStr">
        <is>
          <t>By kind</t>
        </is>
      </c>
    </row>
    <row r="13">
      <c r="A13" s="5" t="inlineStr">
        <is>
          <t>Business rule</t>
        </is>
      </c>
      <c r="B13" s="5">
        <f>COUNTIF(Bugs!J2:J46,A13)</f>
        <v/>
      </c>
    </row>
    <row r="14">
      <c r="A14" s="5" t="inlineStr">
        <is>
          <t>Data integrity</t>
        </is>
      </c>
      <c r="B14" s="5">
        <f>COUNTIF(Bugs!J2:J46,A14)</f>
        <v/>
      </c>
    </row>
    <row r="15">
      <c r="A15" s="5" t="inlineStr">
        <is>
          <t>Data validation</t>
        </is>
      </c>
      <c r="B15" s="5">
        <f>COUNTIF(Bugs!J2:J46,A15)</f>
        <v/>
      </c>
    </row>
    <row r="16">
      <c r="A16" s="5" t="inlineStr">
        <is>
          <t>Permission / business rule</t>
        </is>
      </c>
      <c r="B16" s="5">
        <f>COUNTIF(Bugs!J2:J46,A16)</f>
        <v/>
      </c>
    </row>
    <row r="17">
      <c r="A17" s="5" t="inlineStr">
        <is>
          <t>Screen shows wrong data</t>
        </is>
      </c>
      <c r="B17" s="5">
        <f>COUNTIF(Bugs!J2:J46,A17)</f>
        <v/>
      </c>
    </row>
    <row r="18">
      <c r="A18" s="5" t="inlineStr">
        <is>
          <t>Server crash</t>
        </is>
      </c>
      <c r="B18" s="5">
        <f>COUNTIF(Bugs!J2:J46,A18)</f>
        <v/>
      </c>
    </row>
    <row r="19">
      <c r="A19" s="5" t="inlineStr">
        <is>
          <t>Server crash / wrong result</t>
        </is>
      </c>
      <c r="B19" s="5">
        <f>COUNTIF(Bugs!J2:J46,A19)</f>
        <v/>
      </c>
    </row>
    <row r="20">
      <c r="A20" s="5" t="inlineStr">
        <is>
          <t>Wrong message</t>
        </is>
      </c>
      <c r="B20" s="5">
        <f>COUNTIF(Bugs!J2:J46,A20)</f>
        <v/>
      </c>
    </row>
    <row r="21">
      <c r="A21" s="5" t="inlineStr">
        <is>
          <t>Wrong result</t>
        </is>
      </c>
      <c r="B21" s="5">
        <f>COUNTIF(Bugs!J2:J46,A21)</f>
        <v/>
      </c>
    </row>
    <row r="23">
      <c r="A23" s="4" t="inlineStr">
        <is>
          <t>By client (a bug can appear on more than one)</t>
        </is>
      </c>
    </row>
    <row r="24">
      <c r="A24" s="5" t="inlineStr">
        <is>
          <t>PROCOL DEMO</t>
        </is>
      </c>
      <c r="B24" s="5">
        <f>COUNTIF(Bugs!H2:H46,"*"&amp;A24&amp;"*")</f>
        <v/>
      </c>
    </row>
    <row r="25">
      <c r="A25" s="5" t="inlineStr">
        <is>
          <t>Demo Account 2</t>
        </is>
      </c>
      <c r="B25" s="5">
        <f>COUNTIF(Bugs!H2:H46,"*"&amp;A25&amp;"*")</f>
        <v/>
      </c>
    </row>
    <row r="26">
      <c r="A26" s="5" t="inlineStr">
        <is>
          <t>Procol Sandbox Demo (PO)</t>
        </is>
      </c>
      <c r="B26" s="5">
        <f>COUNTIF(Bugs!H2:H46,"*"&amp;A26&amp;"*")</f>
        <v/>
      </c>
    </row>
    <row r="28">
      <c r="A28" s="4" t="inlineStr">
        <is>
          <t>Also in this file</t>
        </is>
      </c>
    </row>
    <row r="29">
      <c r="A29" s="5" t="inlineStr">
        <is>
          <t>Needs product confirmation</t>
        </is>
      </c>
      <c r="B29" s="5">
        <f>COUNTA('Needs confirmation'!A2:A8)</f>
        <v/>
      </c>
    </row>
    <row r="30">
      <c r="A30" s="5" t="inlineStr">
        <is>
          <t>Client data problems (not code bugs)</t>
        </is>
      </c>
      <c r="B30"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and the Master QCS for a proposal from another event.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2026-10-03T07:01:49Z</dcterms:created>
  <dcterms:modified xsi:type="dcterms:W3CDTF">2026-10-03T07:01:49Z</dcterms:modified>
</cp:coreProperties>
</file>
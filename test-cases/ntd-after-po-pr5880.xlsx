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Cases" sheetId="2" state="visible" r:id="rId2"/>
    <sheet name="Flow &amp; Setup" sheetId="3" state="visible" r:id="rId3"/>
    <sheet name="Open Questions" sheetId="4" state="visible" r:id="rId4"/>
  </sheets>
  <definedNames>
    <definedName name="_xlnm._FilterDatabase" localSheetId="1" hidden="1">'Test Cases'!$A$1:$P$67</definedName>
    <definedName name="_xlnm.Print_Titles" localSheetId="1">'Test Cases'!$1:$1</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Arial"/>
      <b val="1"/>
      <color rgb="00FFFFFF"/>
      <sz val="10"/>
    </font>
    <font>
      <name val="Arial"/>
      <b val="1"/>
      <sz val="10"/>
    </font>
    <font>
      <name val="Arial"/>
      <sz val="10"/>
    </font>
    <font>
      <name val="Arial"/>
      <b val="1"/>
      <color rgb="001F3864"/>
      <sz val="14"/>
    </font>
    <font>
      <name val="Arial"/>
      <i val="1"/>
      <color rgb="00595959"/>
      <sz val="10"/>
    </font>
    <font>
      <name val="Arial"/>
      <color rgb="000563C1"/>
      <sz val="10"/>
      <u val="single"/>
    </font>
  </fonts>
  <fills count="5">
    <fill>
      <patternFill/>
    </fill>
    <fill>
      <patternFill patternType="gray125"/>
    </fill>
    <fill>
      <patternFill patternType="solid">
        <fgColor rgb="001F3864"/>
      </patternFill>
    </fill>
    <fill>
      <patternFill patternType="solid">
        <fgColor rgb="00FFF9E6"/>
      </patternFill>
    </fill>
    <fill>
      <patternFill patternType="solid">
        <fgColor rgb="00F2F5FA"/>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26">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xf numFmtId="0" fontId="3" fillId="0" borderId="0" applyAlignment="1" pivotButton="0" quotePrefix="0" xfId="0">
      <alignment vertical="top" wrapText="1"/>
    </xf>
    <xf numFmtId="0" fontId="1" fillId="2" borderId="1" applyAlignment="1" pivotButton="0" quotePrefix="0" xfId="0">
      <alignment horizontal="center" vertical="center" wrapText="1"/>
    </xf>
    <xf numFmtId="0" fontId="3" fillId="0" borderId="1" applyAlignment="1" pivotButton="0" quotePrefix="0" xfId="0">
      <alignment horizontal="left" vertical="center"/>
    </xf>
    <xf numFmtId="0" fontId="3" fillId="0" borderId="1" applyAlignment="1" pivotButton="0" quotePrefix="0" xfId="0">
      <alignment horizontal="center" vertical="center"/>
    </xf>
    <xf numFmtId="9" fontId="3" fillId="0" borderId="1" applyAlignment="1" pivotButton="0" quotePrefix="0" xfId="0">
      <alignment horizontal="center" vertical="center"/>
    </xf>
    <xf numFmtId="0" fontId="2" fillId="4" borderId="1" applyAlignment="1" pivotButton="0" quotePrefix="0" xfId="0">
      <alignment horizontal="left" vertical="center"/>
    </xf>
    <xf numFmtId="0" fontId="2" fillId="4" borderId="1" applyAlignment="1" pivotButton="0" quotePrefix="0" xfId="0">
      <alignment horizontal="center" vertical="center"/>
    </xf>
    <xf numFmtId="9" fontId="2" fillId="4" borderId="1" applyAlignment="1" pivotButton="0" quotePrefix="0" xfId="0">
      <alignment horizontal="center" vertical="center"/>
    </xf>
    <xf numFmtId="0" fontId="3" fillId="0" borderId="0" pivotButton="0" quotePrefix="0" xfId="0"/>
    <xf numFmtId="0" fontId="3" fillId="0" borderId="0" applyAlignment="1" pivotButton="0" quotePrefix="0" xfId="0">
      <alignment horizontal="center"/>
    </xf>
    <xf numFmtId="164"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vertical="top" wrapText="1"/>
    </xf>
    <xf numFmtId="0" fontId="3" fillId="0" borderId="1" applyAlignment="1" pivotButton="0" quotePrefix="0" xfId="0">
      <alignment horizontal="center" vertical="top" wrapText="1"/>
    </xf>
    <xf numFmtId="0" fontId="3" fillId="3" borderId="1" applyAlignment="1" pivotButton="0" quotePrefix="0" xfId="0">
      <alignment horizontal="center" vertical="top" wrapText="1"/>
    </xf>
    <xf numFmtId="0" fontId="3" fillId="3" borderId="1" applyAlignment="1" pivotButton="0" quotePrefix="0" xfId="0">
      <alignment vertical="top" wrapText="1"/>
    </xf>
    <xf numFmtId="164" fontId="3" fillId="3" borderId="1" applyAlignment="1" pivotButton="0" quotePrefix="0" xfId="0">
      <alignment horizontal="center" vertical="top" wrapText="1"/>
    </xf>
    <xf numFmtId="0" fontId="1" fillId="2" borderId="1" pivotButton="0" quotePrefix="0" xfId="0"/>
    <xf numFmtId="0" fontId="2" fillId="0" borderId="1" applyAlignment="1" pivotButton="0" quotePrefix="0" xfId="0">
      <alignment vertical="top" wrapText="1"/>
    </xf>
    <xf numFmtId="0" fontId="1" fillId="2" borderId="1" applyAlignment="1" pivotButton="0" quotePrefix="0" xfId="0">
      <alignment horizontal="center" vertical="center"/>
    </xf>
    <xf numFmtId="0" fontId="0" fillId="0" borderId="4" pivotButton="0" quotePrefix="0" xfId="0"/>
  </cellXfs>
  <cellStyles count="1">
    <cellStyle name="Normal" xfId="0" builtinId="0" hidden="0"/>
  </cellStyles>
  <dxfs count="6">
    <dxf>
      <fill>
        <patternFill patternType="solid">
          <fgColor rgb="00C6EFCE"/>
        </patternFill>
      </fill>
    </dxf>
    <dxf>
      <fill>
        <patternFill patternType="solid">
          <fgColor rgb="00FFC7CE"/>
        </patternFill>
      </fill>
    </dxf>
    <dxf>
      <fill>
        <patternFill patternType="solid">
          <fgColor rgb="00FFEB9C"/>
        </patternFill>
      </fill>
    </dxf>
    <dxf>
      <fill>
        <patternFill patternType="solid">
          <fgColor rgb="00D9D9D9"/>
        </patternFill>
      </fill>
    </dxf>
    <dxf>
      <font>
        <name val="Arial"/>
        <b val="1"/>
        <color rgb="00C00000"/>
      </font>
    </dxf>
    <dxf>
      <font>
        <name val="Arial"/>
        <b val="1"/>
        <color rgb="009C57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Procol-Tech/procol-client-dashboard/pull/5880" TargetMode="External" Id="rId1" /></Relationships>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52" customWidth="1" min="1" max="1"/>
    <col width="11" customWidth="1" min="2" max="2"/>
    <col width="11" customWidth="1" min="3" max="3"/>
    <col width="11" customWidth="1" min="4" max="4"/>
    <col width="11" customWidth="1" min="5" max="5"/>
    <col width="11" customWidth="1" min="6" max="6"/>
    <col width="11" customWidth="1" min="7" max="7"/>
    <col width="11" customWidth="1" min="8" max="8"/>
  </cols>
  <sheetData>
    <row r="1">
      <c r="A1" s="1" t="inlineStr">
        <is>
          <t>NTD after PO — test execution summary</t>
        </is>
      </c>
    </row>
    <row r="2">
      <c r="A2" s="2" t="inlineStr">
        <is>
          <t>PR #5880 · Procol-Tech/procol-client-dashboard · feat/ntd-after-po → main</t>
        </is>
      </c>
    </row>
    <row r="3">
      <c r="A3" s="3" t="inlineStr">
        <is>
          <t>https://github.com/Procol-Tech/procol-client-dashboard/pull/5880</t>
        </is>
      </c>
    </row>
    <row r="5">
      <c r="A5" s="4" t="inlineStr">
        <is>
          <t>How to use this sheet</t>
        </is>
      </c>
    </row>
    <row r="6" ht="40" customHeight="1">
      <c r="A6" s="5" t="inlineStr">
        <is>
          <t>Fill in the light-yellow columns on the Test Cases tab (Status → Build / Env). Everything on this tab updates from them.</t>
        </is>
      </c>
    </row>
    <row r="7" ht="28" customHeight="1">
      <c r="A7" s="5" t="inlineStr">
        <is>
          <t>Status is a dropdown: Not Run, Pass, Fail, Blocked, N/A. Put the ticket number in Bug / Ticket whenever Status is Fail.</t>
        </is>
      </c>
    </row>
    <row r="8" ht="40" customHeight="1">
      <c r="A8" s="5" t="inlineStr">
        <is>
          <t>Example of a filled row: Status = Fail · Actual Result = "Approval sidebar shows all lots, not Lot 2" · Bug / Ticket = PROC-1234 · Tested By = Animesh · Tested On = 24-Sep-2026 · Build / Env = QA, v9.4.418</t>
        </is>
      </c>
    </row>
    <row r="9" ht="40" customHeight="1">
      <c r="A9" s="5" t="inlineStr">
        <is>
          <t>Flag = "Suspected bug" means the code reading already points to a defect. "Needs product call" means expected behaviour must be agreed first (see Open Questions).</t>
        </is>
      </c>
    </row>
    <row r="10" ht="40" customHeight="1">
      <c r="A10" s="5" t="inlineStr">
        <is>
          <t>Quick smoke order: 001 → 005 → 015 → 016 → 029 → 031 → 042 → 050 → 051 → 057 → 061, then 017 → 060 (NTD off) and 023 on a lot-based tenant.</t>
        </is>
      </c>
    </row>
    <row r="11">
      <c r="A11" s="4" t="inlineStr">
        <is>
          <t>By module</t>
        </is>
      </c>
    </row>
    <row r="12">
      <c r="A12" s="6" t="inlineStr">
        <is>
          <t>Module</t>
        </is>
      </c>
      <c r="B12" s="6" t="inlineStr">
        <is>
          <t>Total</t>
        </is>
      </c>
      <c r="C12" s="6" t="inlineStr">
        <is>
          <t>Pass</t>
        </is>
      </c>
      <c r="D12" s="6" t="inlineStr">
        <is>
          <t>Fail</t>
        </is>
      </c>
      <c r="E12" s="6" t="inlineStr">
        <is>
          <t>Blocked</t>
        </is>
      </c>
      <c r="F12" s="6" t="inlineStr">
        <is>
          <t>N/A</t>
        </is>
      </c>
      <c r="G12" s="6" t="inlineStr">
        <is>
          <t>Not Run</t>
        </is>
      </c>
      <c r="H12" s="6" t="inlineStr">
        <is>
          <t>Pass %</t>
        </is>
      </c>
    </row>
    <row r="13">
      <c r="A13" s="7" t="inlineStr">
        <is>
          <t>Getting to the PO form</t>
        </is>
      </c>
      <c r="B13" s="8">
        <f>COUNTIFS('Test Cases'!$B$2:$B$67,$A13)</f>
        <v/>
      </c>
      <c r="C13" s="8">
        <f>COUNTIFS('Test Cases'!$B$2:$B$67,$A13,'Test Cases'!$K$2:$K$67,"Pass")</f>
        <v/>
      </c>
      <c r="D13" s="8">
        <f>COUNTIFS('Test Cases'!$B$2:$B$67,$A13,'Test Cases'!$K$2:$K$67,"Fail")</f>
        <v/>
      </c>
      <c r="E13" s="8">
        <f>COUNTIFS('Test Cases'!$B$2:$B$67,$A13,'Test Cases'!$K$2:$K$67,"Blocked")</f>
        <v/>
      </c>
      <c r="F13" s="8">
        <f>COUNTIFS('Test Cases'!$B$2:$B$67,$A13,'Test Cases'!$K$2:$K$67,"N/A")</f>
        <v/>
      </c>
      <c r="G13" s="8">
        <f>COUNTIFS('Test Cases'!$B$2:$B$67,$A13,'Test Cases'!$K$2:$K$67,"Not Run")</f>
        <v/>
      </c>
      <c r="H13" s="9">
        <f>IFERROR(C13/(B13-F13-G13),0)</f>
        <v/>
      </c>
    </row>
    <row r="14">
      <c r="A14" s="7" t="inlineStr">
        <is>
          <t>The PO form — fields and validation</t>
        </is>
      </c>
      <c r="B14" s="8">
        <f>COUNTIFS('Test Cases'!$B$2:$B$67,$A14)</f>
        <v/>
      </c>
      <c r="C14" s="8">
        <f>COUNTIFS('Test Cases'!$B$2:$B$67,$A14,'Test Cases'!$K$2:$K$67,"Pass")</f>
        <v/>
      </c>
      <c r="D14" s="8">
        <f>COUNTIFS('Test Cases'!$B$2:$B$67,$A14,'Test Cases'!$K$2:$K$67,"Fail")</f>
        <v/>
      </c>
      <c r="E14" s="8">
        <f>COUNTIFS('Test Cases'!$B$2:$B$67,$A14,'Test Cases'!$K$2:$K$67,"Blocked")</f>
        <v/>
      </c>
      <c r="F14" s="8">
        <f>COUNTIFS('Test Cases'!$B$2:$B$67,$A14,'Test Cases'!$K$2:$K$67,"N/A")</f>
        <v/>
      </c>
      <c r="G14" s="8">
        <f>COUNTIFS('Test Cases'!$B$2:$B$67,$A14,'Test Cases'!$K$2:$K$67,"Not Run")</f>
        <v/>
      </c>
      <c r="H14" s="9">
        <f>IFERROR(C14/(B14-F14-G14),0)</f>
        <v/>
      </c>
    </row>
    <row r="15">
      <c r="A15" s="7" t="inlineStr">
        <is>
          <t>"Submit Proposal" on the PO form — the core change</t>
        </is>
      </c>
      <c r="B15" s="8">
        <f>COUNTIFS('Test Cases'!$B$2:$B$67,$A15)</f>
        <v/>
      </c>
      <c r="C15" s="8">
        <f>COUNTIFS('Test Cases'!$B$2:$B$67,$A15,'Test Cases'!$K$2:$K$67,"Pass")</f>
        <v/>
      </c>
      <c r="D15" s="8">
        <f>COUNTIFS('Test Cases'!$B$2:$B$67,$A15,'Test Cases'!$K$2:$K$67,"Fail")</f>
        <v/>
      </c>
      <c r="E15" s="8">
        <f>COUNTIFS('Test Cases'!$B$2:$B$67,$A15,'Test Cases'!$K$2:$K$67,"Blocked")</f>
        <v/>
      </c>
      <c r="F15" s="8">
        <f>COUNTIFS('Test Cases'!$B$2:$B$67,$A15,'Test Cases'!$K$2:$K$67,"N/A")</f>
        <v/>
      </c>
      <c r="G15" s="8">
        <f>COUNTIFS('Test Cases'!$B$2:$B$67,$A15,'Test Cases'!$K$2:$K$67,"Not Run")</f>
        <v/>
      </c>
      <c r="H15" s="9">
        <f>IFERROR(C15/(B15-F15-G15),0)</f>
        <v/>
      </c>
    </row>
    <row r="16">
      <c r="A16" s="7" t="inlineStr">
        <is>
          <t>The NTD (entity) form</t>
        </is>
      </c>
      <c r="B16" s="8">
        <f>COUNTIFS('Test Cases'!$B$2:$B$67,$A16)</f>
        <v/>
      </c>
      <c r="C16" s="8">
        <f>COUNTIFS('Test Cases'!$B$2:$B$67,$A16,'Test Cases'!$K$2:$K$67,"Pass")</f>
        <v/>
      </c>
      <c r="D16" s="8">
        <f>COUNTIFS('Test Cases'!$B$2:$B$67,$A16,'Test Cases'!$K$2:$K$67,"Fail")</f>
        <v/>
      </c>
      <c r="E16" s="8">
        <f>COUNTIFS('Test Cases'!$B$2:$B$67,$A16,'Test Cases'!$K$2:$K$67,"Blocked")</f>
        <v/>
      </c>
      <c r="F16" s="8">
        <f>COUNTIFS('Test Cases'!$B$2:$B$67,$A16,'Test Cases'!$K$2:$K$67,"N/A")</f>
        <v/>
      </c>
      <c r="G16" s="8">
        <f>COUNTIFS('Test Cases'!$B$2:$B$67,$A16,'Test Cases'!$K$2:$K$67,"Not Run")</f>
        <v/>
      </c>
      <c r="H16" s="9">
        <f>IFERROR(C16/(B16-F16-G16),0)</f>
        <v/>
      </c>
    </row>
    <row r="17">
      <c r="A17" s="7" t="inlineStr">
        <is>
          <t>"Submit Proposal" on the NTD form — the core change</t>
        </is>
      </c>
      <c r="B17" s="8">
        <f>COUNTIFS('Test Cases'!$B$2:$B$67,$A17)</f>
        <v/>
      </c>
      <c r="C17" s="8">
        <f>COUNTIFS('Test Cases'!$B$2:$B$67,$A17,'Test Cases'!$K$2:$K$67,"Pass")</f>
        <v/>
      </c>
      <c r="D17" s="8">
        <f>COUNTIFS('Test Cases'!$B$2:$B$67,$A17,'Test Cases'!$K$2:$K$67,"Fail")</f>
        <v/>
      </c>
      <c r="E17" s="8">
        <f>COUNTIFS('Test Cases'!$B$2:$B$67,$A17,'Test Cases'!$K$2:$K$67,"Blocked")</f>
        <v/>
      </c>
      <c r="F17" s="8">
        <f>COUNTIFS('Test Cases'!$B$2:$B$67,$A17,'Test Cases'!$K$2:$K$67,"N/A")</f>
        <v/>
      </c>
      <c r="G17" s="8">
        <f>COUNTIFS('Test Cases'!$B$2:$B$67,$A17,'Test Cases'!$K$2:$K$67,"Not Run")</f>
        <v/>
      </c>
      <c r="H17" s="9">
        <f>IFERROR(C17/(B17-F17-G17),0)</f>
        <v/>
      </c>
    </row>
    <row r="18">
      <c r="A18" s="7" t="inlineStr">
        <is>
          <t>Final submit — the "Submit Proposal" approval modal</t>
        </is>
      </c>
      <c r="B18" s="8">
        <f>COUNTIFS('Test Cases'!$B$2:$B$67,$A18)</f>
        <v/>
      </c>
      <c r="C18" s="8">
        <f>COUNTIFS('Test Cases'!$B$2:$B$67,$A18,'Test Cases'!$K$2:$K$67,"Pass")</f>
        <v/>
      </c>
      <c r="D18" s="8">
        <f>COUNTIFS('Test Cases'!$B$2:$B$67,$A18,'Test Cases'!$K$2:$K$67,"Fail")</f>
        <v/>
      </c>
      <c r="E18" s="8">
        <f>COUNTIFS('Test Cases'!$B$2:$B$67,$A18,'Test Cases'!$K$2:$K$67,"Blocked")</f>
        <v/>
      </c>
      <c r="F18" s="8">
        <f>COUNTIFS('Test Cases'!$B$2:$B$67,$A18,'Test Cases'!$K$2:$K$67,"N/A")</f>
        <v/>
      </c>
      <c r="G18" s="8">
        <f>COUNTIFS('Test Cases'!$B$2:$B$67,$A18,'Test Cases'!$K$2:$K$67,"Not Run")</f>
        <v/>
      </c>
      <c r="H18" s="9">
        <f>IFERROR(C18/(B18-F18-G18),0)</f>
        <v/>
      </c>
    </row>
    <row r="19">
      <c r="A19" s="7" t="inlineStr">
        <is>
          <t>After submit and edge cases</t>
        </is>
      </c>
      <c r="B19" s="8">
        <f>COUNTIFS('Test Cases'!$B$2:$B$67,$A19)</f>
        <v/>
      </c>
      <c r="C19" s="8">
        <f>COUNTIFS('Test Cases'!$B$2:$B$67,$A19,'Test Cases'!$K$2:$K$67,"Pass")</f>
        <v/>
      </c>
      <c r="D19" s="8">
        <f>COUNTIFS('Test Cases'!$B$2:$B$67,$A19,'Test Cases'!$K$2:$K$67,"Fail")</f>
        <v/>
      </c>
      <c r="E19" s="8">
        <f>COUNTIFS('Test Cases'!$B$2:$B$67,$A19,'Test Cases'!$K$2:$K$67,"Blocked")</f>
        <v/>
      </c>
      <c r="F19" s="8">
        <f>COUNTIFS('Test Cases'!$B$2:$B$67,$A19,'Test Cases'!$K$2:$K$67,"N/A")</f>
        <v/>
      </c>
      <c r="G19" s="8">
        <f>COUNTIFS('Test Cases'!$B$2:$B$67,$A19,'Test Cases'!$K$2:$K$67,"Not Run")</f>
        <v/>
      </c>
      <c r="H19" s="9">
        <f>IFERROR(C19/(B19-F19-G19),0)</f>
        <v/>
      </c>
    </row>
    <row r="20">
      <c r="A20" s="10" t="inlineStr">
        <is>
          <t>Total</t>
        </is>
      </c>
      <c r="B20" s="11">
        <f>SUM(B13:B19)</f>
        <v/>
      </c>
      <c r="C20" s="11">
        <f>SUM(C13:C19)</f>
        <v/>
      </c>
      <c r="D20" s="11">
        <f>SUM(D13:D19)</f>
        <v/>
      </c>
      <c r="E20" s="11">
        <f>SUM(E13:E19)</f>
        <v/>
      </c>
      <c r="F20" s="11">
        <f>SUM(F13:F19)</f>
        <v/>
      </c>
      <c r="G20" s="11">
        <f>SUM(G13:G19)</f>
        <v/>
      </c>
      <c r="H20" s="12">
        <f>IFERROR(C20/(B20-F20-G20),0)</f>
        <v/>
      </c>
    </row>
    <row r="22">
      <c r="A22" s="4" t="inlineStr">
        <is>
          <t>By priority</t>
        </is>
      </c>
    </row>
    <row r="23">
      <c r="A23" s="6" t="inlineStr">
        <is>
          <t>Priority</t>
        </is>
      </c>
      <c r="B23" s="6" t="inlineStr">
        <is>
          <t>Total</t>
        </is>
      </c>
      <c r="C23" s="6" t="inlineStr">
        <is>
          <t>Pass</t>
        </is>
      </c>
      <c r="D23" s="6" t="inlineStr">
        <is>
          <t>Fail</t>
        </is>
      </c>
      <c r="E23" s="6" t="inlineStr">
        <is>
          <t>Blocked</t>
        </is>
      </c>
      <c r="F23" s="6" t="inlineStr">
        <is>
          <t>N/A</t>
        </is>
      </c>
      <c r="G23" s="6" t="inlineStr">
        <is>
          <t>Not Run</t>
        </is>
      </c>
      <c r="H23" s="6" t="inlineStr">
        <is>
          <t>Pass %</t>
        </is>
      </c>
    </row>
    <row r="24">
      <c r="A24" s="7" t="inlineStr">
        <is>
          <t>P0</t>
        </is>
      </c>
      <c r="B24" s="8">
        <f>COUNTIFS('Test Cases'!$E$2:$E$67,$A24)</f>
        <v/>
      </c>
      <c r="C24" s="8">
        <f>COUNTIFS('Test Cases'!$E$2:$E$67,$A24,'Test Cases'!$K$2:$K$67,"Pass")</f>
        <v/>
      </c>
      <c r="D24" s="8">
        <f>COUNTIFS('Test Cases'!$E$2:$E$67,$A24,'Test Cases'!$K$2:$K$67,"Fail")</f>
        <v/>
      </c>
      <c r="E24" s="8">
        <f>COUNTIFS('Test Cases'!$E$2:$E$67,$A24,'Test Cases'!$K$2:$K$67,"Blocked")</f>
        <v/>
      </c>
      <c r="F24" s="8">
        <f>COUNTIFS('Test Cases'!$E$2:$E$67,$A24,'Test Cases'!$K$2:$K$67,"N/A")</f>
        <v/>
      </c>
      <c r="G24" s="8">
        <f>COUNTIFS('Test Cases'!$E$2:$E$67,$A24,'Test Cases'!$K$2:$K$67,"Not Run")</f>
        <v/>
      </c>
      <c r="H24" s="9">
        <f>IFERROR(C24/(B24-F24-G24),0)</f>
        <v/>
      </c>
    </row>
    <row r="25">
      <c r="A25" s="7" t="inlineStr">
        <is>
          <t>P1</t>
        </is>
      </c>
      <c r="B25" s="8">
        <f>COUNTIFS('Test Cases'!$E$2:$E$67,$A25)</f>
        <v/>
      </c>
      <c r="C25" s="8">
        <f>COUNTIFS('Test Cases'!$E$2:$E$67,$A25,'Test Cases'!$K$2:$K$67,"Pass")</f>
        <v/>
      </c>
      <c r="D25" s="8">
        <f>COUNTIFS('Test Cases'!$E$2:$E$67,$A25,'Test Cases'!$K$2:$K$67,"Fail")</f>
        <v/>
      </c>
      <c r="E25" s="8">
        <f>COUNTIFS('Test Cases'!$E$2:$E$67,$A25,'Test Cases'!$K$2:$K$67,"Blocked")</f>
        <v/>
      </c>
      <c r="F25" s="8">
        <f>COUNTIFS('Test Cases'!$E$2:$E$67,$A25,'Test Cases'!$K$2:$K$67,"N/A")</f>
        <v/>
      </c>
      <c r="G25" s="8">
        <f>COUNTIFS('Test Cases'!$E$2:$E$67,$A25,'Test Cases'!$K$2:$K$67,"Not Run")</f>
        <v/>
      </c>
      <c r="H25" s="9">
        <f>IFERROR(C25/(B25-F25-G25),0)</f>
        <v/>
      </c>
    </row>
    <row r="26">
      <c r="A26" s="7" t="inlineStr">
        <is>
          <t>P2</t>
        </is>
      </c>
      <c r="B26" s="8">
        <f>COUNTIFS('Test Cases'!$E$2:$E$67,$A26)</f>
        <v/>
      </c>
      <c r="C26" s="8">
        <f>COUNTIFS('Test Cases'!$E$2:$E$67,$A26,'Test Cases'!$K$2:$K$67,"Pass")</f>
        <v/>
      </c>
      <c r="D26" s="8">
        <f>COUNTIFS('Test Cases'!$E$2:$E$67,$A26,'Test Cases'!$K$2:$K$67,"Fail")</f>
        <v/>
      </c>
      <c r="E26" s="8">
        <f>COUNTIFS('Test Cases'!$E$2:$E$67,$A26,'Test Cases'!$K$2:$K$67,"Blocked")</f>
        <v/>
      </c>
      <c r="F26" s="8">
        <f>COUNTIFS('Test Cases'!$E$2:$E$67,$A26,'Test Cases'!$K$2:$K$67,"N/A")</f>
        <v/>
      </c>
      <c r="G26" s="8">
        <f>COUNTIFS('Test Cases'!$E$2:$E$67,$A26,'Test Cases'!$K$2:$K$67,"Not Run")</f>
        <v/>
      </c>
      <c r="H26" s="9">
        <f>IFERROR(C26/(B26-F26-G26),0)</f>
        <v/>
      </c>
    </row>
    <row r="27">
      <c r="A27" s="7" t="inlineStr">
        <is>
          <t>P3</t>
        </is>
      </c>
      <c r="B27" s="8">
        <f>COUNTIFS('Test Cases'!$E$2:$E$67,$A27)</f>
        <v/>
      </c>
      <c r="C27" s="8">
        <f>COUNTIFS('Test Cases'!$E$2:$E$67,$A27,'Test Cases'!$K$2:$K$67,"Pass")</f>
        <v/>
      </c>
      <c r="D27" s="8">
        <f>COUNTIFS('Test Cases'!$E$2:$E$67,$A27,'Test Cases'!$K$2:$K$67,"Fail")</f>
        <v/>
      </c>
      <c r="E27" s="8">
        <f>COUNTIFS('Test Cases'!$E$2:$E$67,$A27,'Test Cases'!$K$2:$K$67,"Blocked")</f>
        <v/>
      </c>
      <c r="F27" s="8">
        <f>COUNTIFS('Test Cases'!$E$2:$E$67,$A27,'Test Cases'!$K$2:$K$67,"N/A")</f>
        <v/>
      </c>
      <c r="G27" s="8">
        <f>COUNTIFS('Test Cases'!$E$2:$E$67,$A27,'Test Cases'!$K$2:$K$67,"Not Run")</f>
        <v/>
      </c>
      <c r="H27" s="9">
        <f>IFERROR(C27/(B27-F27-G27),0)</f>
        <v/>
      </c>
    </row>
    <row r="30">
      <c r="A30" s="4" t="inlineStr">
        <is>
          <t>Flagged cases</t>
        </is>
      </c>
      <c r="B30" s="4" t="inlineStr">
        <is>
          <t>Total</t>
        </is>
      </c>
      <c r="C30" s="4" t="inlineStr">
        <is>
          <t>Failed</t>
        </is>
      </c>
    </row>
    <row r="31">
      <c r="A31" s="13" t="inlineStr">
        <is>
          <t>Suspected bug</t>
        </is>
      </c>
      <c r="B31" s="14">
        <f>COUNTIFS('Test Cases'!$J$2:$J$67,"Suspected bug")</f>
        <v/>
      </c>
      <c r="C31" s="14">
        <f>COUNTIFS('Test Cases'!$J$2:$J$67,"Suspected bug",'Test Cases'!$K$2:$K$67,"Fail")</f>
        <v/>
      </c>
    </row>
    <row r="32">
      <c r="A32" s="13" t="inlineStr">
        <is>
          <t>Needs product call</t>
        </is>
      </c>
      <c r="B32" s="14">
        <f>COUNTIFS('Test Cases'!$J$2:$J$67,"Needs product call")</f>
        <v/>
      </c>
      <c r="C32" s="14">
        <f>COUNTIFS('Test Cases'!$J$2:$J$67,"Needs product call",'Test Cases'!$K$2:$K$67,"Fail")</f>
        <v/>
      </c>
    </row>
    <row r="33">
      <c r="A33" s="2" t="inlineStr">
        <is>
          <t>Pass % = Pass ÷ (Total − N/A − Not Run), i.e. of the cases actually executed.</t>
        </is>
      </c>
    </row>
  </sheetData>
  <mergeCells count="5">
    <mergeCell ref="A9:H9"/>
    <mergeCell ref="A7:H7"/>
    <mergeCell ref="A10:H10"/>
    <mergeCell ref="A8:H8"/>
    <mergeCell ref="A6:H6"/>
  </mergeCells>
  <hyperlinks>
    <hyperlink xmlns:r="http://schemas.openxmlformats.org/officeDocument/2006/relationships" ref="A3" r:id="rId1"/>
  </hyperlink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P6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2" customWidth="1" min="2" max="2"/>
    <col width="34" customWidth="1" min="3" max="3"/>
    <col width="12" customWidth="1" min="4" max="4"/>
    <col width="9" customWidth="1" min="5" max="5"/>
    <col width="34" customWidth="1" min="6" max="6"/>
    <col width="48" customWidth="1" min="7" max="7"/>
    <col width="52" customWidth="1" min="8" max="8"/>
    <col width="38" customWidth="1" min="9" max="9"/>
    <col width="16" customWidth="1" min="10" max="10"/>
    <col width="11" customWidth="1" min="11" max="11"/>
    <col width="32" customWidth="1" min="12" max="12"/>
    <col width="14" customWidth="1" min="13" max="13"/>
    <col width="14" customWidth="1" min="14" max="14"/>
    <col width="12" customWidth="1" min="15" max="15"/>
    <col width="14" customWidth="1" min="16" max="16"/>
  </cols>
  <sheetData>
    <row r="1" ht="30" customHeight="1">
      <c r="A1" s="6" t="inlineStr">
        <is>
          <t>TC ID</t>
        </is>
      </c>
      <c r="B1" s="6" t="inlineStr">
        <is>
          <t>Module</t>
        </is>
      </c>
      <c r="C1" s="6" t="inlineStr">
        <is>
          <t>Scenario</t>
        </is>
      </c>
      <c r="D1" s="6" t="inlineStr">
        <is>
          <t>Type</t>
        </is>
      </c>
      <c r="E1" s="6" t="inlineStr">
        <is>
          <t>Priority</t>
        </is>
      </c>
      <c r="F1" s="6" t="inlineStr">
        <is>
          <t>Precondition</t>
        </is>
      </c>
      <c r="G1" s="6" t="inlineStr">
        <is>
          <t>Test Steps</t>
        </is>
      </c>
      <c r="H1" s="6" t="inlineStr">
        <is>
          <t>Expected Result</t>
        </is>
      </c>
      <c r="I1" s="6" t="inlineStr">
        <is>
          <t>Notes</t>
        </is>
      </c>
      <c r="J1" s="6" t="inlineStr">
        <is>
          <t>Flag</t>
        </is>
      </c>
      <c r="K1" s="6" t="inlineStr">
        <is>
          <t>Status</t>
        </is>
      </c>
      <c r="L1" s="6" t="inlineStr">
        <is>
          <t>Actual Result</t>
        </is>
      </c>
      <c r="M1" s="6" t="inlineStr">
        <is>
          <t>Bug / Ticket</t>
        </is>
      </c>
      <c r="N1" s="6" t="inlineStr">
        <is>
          <t>Tested By</t>
        </is>
      </c>
      <c r="O1" s="15" t="inlineStr">
        <is>
          <t>Tested On</t>
        </is>
      </c>
      <c r="P1" s="6" t="inlineStr">
        <is>
          <t>Build / Env</t>
        </is>
      </c>
    </row>
    <row r="2" ht="58" customHeight="1">
      <c r="A2" s="16" t="inlineStr">
        <is>
          <t>NTD-PO-001</t>
        </is>
      </c>
      <c r="B2" s="17" t="inlineStr">
        <is>
          <t>Getting to the PO form</t>
        </is>
      </c>
      <c r="C2" s="17" t="inlineStr">
        <is>
          <t>"Create PO" on the awarding screen opens the PO form</t>
        </is>
      </c>
      <c r="D2" s="18" t="inlineStr">
        <is>
          <t>Functional</t>
        </is>
      </c>
      <c r="E2" s="18" t="inlineStr">
        <is>
          <t>P0</t>
        </is>
      </c>
      <c r="F2" s="17" t="inlineStr">
        <is>
          <t>P-NTD, awarding done, no contract template on the tenant.</t>
        </is>
      </c>
      <c r="G2" s="17" t="inlineStr">
        <is>
          <t>1. Open the project and go to the awarding (QCS) screen.
2. Click Create PO.</t>
        </is>
      </c>
      <c r="H2" s="17" t="inlineStr">
        <is>
          <t>The toast "Redirecting you to PO form..." shows, then the PO form opens for this proposal. Each awarded vendor has its own column. The Submit Proposal button is at the top right.</t>
        </is>
      </c>
      <c r="I2" s="17" t="n"/>
      <c r="J2" s="18" t="n"/>
      <c r="K2" s="19" t="inlineStr">
        <is>
          <t>Not Run</t>
        </is>
      </c>
      <c r="L2" s="20" t="n"/>
      <c r="M2" s="20" t="n"/>
      <c r="N2" s="20" t="n"/>
      <c r="O2" s="21" t="n"/>
      <c r="P2" s="20" t="n"/>
    </row>
    <row r="3" ht="32" customHeight="1">
      <c r="A3" s="16" t="inlineStr">
        <is>
          <t>NTD-PO-002</t>
        </is>
      </c>
      <c r="B3" s="17" t="inlineStr">
        <is>
          <t>Getting to the PO form</t>
        </is>
      </c>
      <c r="C3" s="17" t="inlineStr">
        <is>
          <t>"Proceed ▸ Create PO" works the same when contracts are enabled</t>
        </is>
      </c>
      <c r="D3" s="18" t="inlineStr">
        <is>
          <t>Functional</t>
        </is>
      </c>
      <c r="E3" s="18" t="inlineStr">
        <is>
          <t>P1</t>
        </is>
      </c>
      <c r="F3" s="17" t="inlineStr">
        <is>
          <t>P-NTD, with a contract template available.</t>
        </is>
      </c>
      <c r="G3" s="17" t="inlineStr">
        <is>
          <t>1. On the awarding screen, click Proceed.
2. Pick Create PO from the menu.</t>
        </is>
      </c>
      <c r="H3" s="17" t="inlineStr">
        <is>
          <t>The same PO form opens as in NTD-PO-001. The menu shows Create PO and Create Contract, not Create Proposal.</t>
        </is>
      </c>
      <c r="I3" s="17" t="n"/>
      <c r="J3" s="18" t="n"/>
      <c r="K3" s="19" t="inlineStr">
        <is>
          <t>Not Run</t>
        </is>
      </c>
      <c r="L3" s="20" t="n"/>
      <c r="M3" s="20" t="n"/>
      <c r="N3" s="20" t="n"/>
      <c r="O3" s="21" t="n"/>
      <c r="P3" s="20" t="n"/>
    </row>
    <row r="4" ht="45" customHeight="1">
      <c r="A4" s="16" t="inlineStr">
        <is>
          <t>NTD-PO-003</t>
        </is>
      </c>
      <c r="B4" s="17" t="inlineStr">
        <is>
          <t>Getting to the PO form</t>
        </is>
      </c>
      <c r="C4" s="17" t="inlineStr">
        <is>
          <t>"Create PO" can't be fired twice</t>
        </is>
      </c>
      <c r="D4" s="18" t="inlineStr">
        <is>
          <t>Edge case</t>
        </is>
      </c>
      <c r="E4" s="18" t="inlineStr">
        <is>
          <t>P2</t>
        </is>
      </c>
      <c r="F4" s="17" t="inlineStr">
        <is>
          <t>P-NTD.</t>
        </is>
      </c>
      <c r="G4" s="17" t="inlineStr">
        <is>
          <t>Double-click Create PO quickly.</t>
        </is>
      </c>
      <c r="H4" s="17" t="inlineStr">
        <is>
          <t>The button shows a loader after the first click. Only one PO is created and one redirect happens. No duplicate-PO error.</t>
        </is>
      </c>
      <c r="I4" s="17" t="n"/>
      <c r="J4" s="18" t="n"/>
      <c r="K4" s="19" t="inlineStr">
        <is>
          <t>Not Run</t>
        </is>
      </c>
      <c r="L4" s="20" t="n"/>
      <c r="M4" s="20" t="n"/>
      <c r="N4" s="20" t="n"/>
      <c r="O4" s="21" t="n"/>
      <c r="P4" s="20" t="n"/>
    </row>
    <row r="5" ht="45" customHeight="1">
      <c r="A5" s="16" t="inlineStr">
        <is>
          <t>NTD-PO-004</t>
        </is>
      </c>
      <c r="B5" s="17" t="inlineStr">
        <is>
          <t>Getting to the PO form</t>
        </is>
      </c>
      <c r="C5" s="17" t="inlineStr">
        <is>
          <t>The Proposed PO Form tab appears on the proposal page</t>
        </is>
      </c>
      <c r="D5" s="18" t="inlineStr">
        <is>
          <t>Functional</t>
        </is>
      </c>
      <c r="E5" s="18" t="inlineStr">
        <is>
          <t>P2</t>
        </is>
      </c>
      <c r="F5" s="17" t="inlineStr">
        <is>
          <t>P-NTD, PO created.</t>
        </is>
      </c>
      <c r="G5" s="17" t="inlineStr">
        <is>
          <t>Open the proposal page and look at the stage tabs.</t>
        </is>
      </c>
      <c r="H5" s="17" t="inlineStr">
        <is>
          <t>A Proposed PO Form tab is listed and opens the same PO form. In P-NTD-SKIP (skip_custom_po = true) this tab isn't shown.</t>
        </is>
      </c>
      <c r="I5" s="17" t="n"/>
      <c r="J5" s="18" t="n"/>
      <c r="K5" s="19" t="inlineStr">
        <is>
          <t>Not Run</t>
        </is>
      </c>
      <c r="L5" s="20" t="n"/>
      <c r="M5" s="20" t="n"/>
      <c r="N5" s="20" t="n"/>
      <c r="O5" s="21" t="n"/>
      <c r="P5" s="20" t="n"/>
    </row>
    <row r="6" ht="45" customHeight="1">
      <c r="A6" s="16" t="inlineStr">
        <is>
          <t>NTD-PO-005</t>
        </is>
      </c>
      <c r="B6" s="17" t="inlineStr">
        <is>
          <t>The PO form — fields and validation</t>
        </is>
      </c>
      <c r="C6" s="17" t="inlineStr">
        <is>
          <t>Every PO field saves on its own and survives a reload</t>
        </is>
      </c>
      <c r="D6" s="18" t="inlineStr">
        <is>
          <t>Regression</t>
        </is>
      </c>
      <c r="E6" s="18" t="inlineStr">
        <is>
          <t>P0</t>
        </is>
      </c>
      <c r="F6" s="17" t="inlineStr">
        <is>
          <t>PO form open (P-NTD).</t>
        </is>
      </c>
      <c r="G6" s="17" t="inlineStr">
        <is>
          <t>1. For one vendor, fill one field of each type: text, number, date, dropdown.
2. Reload the page.</t>
        </is>
      </c>
      <c r="H6" s="17" t="inlineStr">
        <is>
          <t>Each field saves as soon as you leave it (a save call fires per field). After the reload, every value is still there, in the right vendor's column.</t>
        </is>
      </c>
      <c r="I6" s="17" t="n"/>
      <c r="J6" s="18" t="n"/>
      <c r="K6" s="19" t="inlineStr">
        <is>
          <t>Not Run</t>
        </is>
      </c>
      <c r="L6" s="20" t="n"/>
      <c r="M6" s="20" t="n"/>
      <c r="N6" s="20" t="n"/>
      <c r="O6" s="21" t="n"/>
      <c r="P6" s="20" t="n"/>
    </row>
    <row r="7" ht="45" customHeight="1">
      <c r="A7" s="16" t="inlineStr">
        <is>
          <t>NTD-PO-006</t>
        </is>
      </c>
      <c r="B7" s="17" t="inlineStr">
        <is>
          <t>The PO form — fields and validation</t>
        </is>
      </c>
      <c r="C7" s="17" t="inlineStr">
        <is>
          <t>Required PO fields are marked</t>
        </is>
      </c>
      <c r="D7" s="18" t="inlineStr">
        <is>
          <t>Regression</t>
        </is>
      </c>
      <c r="E7" s="18" t="inlineStr">
        <is>
          <t>P1</t>
        </is>
      </c>
      <c r="F7" s="17" t="inlineStr">
        <is>
          <t>PO form open for a P-NTD proposal, with at least one vendor column visible.</t>
        </is>
      </c>
      <c r="G7" s="17" t="inlineStr">
        <is>
          <t>Look at the PO form for one vendor.</t>
        </is>
      </c>
      <c r="H7" s="17" t="inlineStr">
        <is>
          <t>Mandatory fields are visibly marked as required. Read-only or system fields, such as vendor name and totals, can't be edited.</t>
        </is>
      </c>
      <c r="I7" s="17" t="n"/>
      <c r="J7" s="18" t="n"/>
      <c r="K7" s="19" t="inlineStr">
        <is>
          <t>Not Run</t>
        </is>
      </c>
      <c r="L7" s="20" t="n"/>
      <c r="M7" s="20" t="n"/>
      <c r="N7" s="20" t="n"/>
      <c r="O7" s="21" t="n"/>
      <c r="P7" s="20" t="n"/>
    </row>
    <row r="8" ht="97" customHeight="1">
      <c r="A8" s="16" t="inlineStr">
        <is>
          <t>NTD-PO-007</t>
        </is>
      </c>
      <c r="B8" s="17" t="inlineStr">
        <is>
          <t>The PO form — fields and validation</t>
        </is>
      </c>
      <c r="C8" s="17" t="inlineStr">
        <is>
          <t>Text field limits</t>
        </is>
      </c>
      <c r="D8" s="18" t="inlineStr">
        <is>
          <t>Regression</t>
        </is>
      </c>
      <c r="E8" s="18" t="inlineStr">
        <is>
          <t>P2</t>
        </is>
      </c>
      <c r="F8" s="17" t="inlineStr">
        <is>
          <t>PO form open for a P-NTD proposal, with at least one vendor column visible.</t>
        </is>
      </c>
      <c r="G8" s="17" t="inlineStr">
        <is>
          <t>In a PO text field, try:
• an empty value
• only spaces
• a 255-character string
• a 1,000-character string
• special characters and HTML: &lt;b&gt;Test&lt;/b&gt; &amp; "quotes" ‘smart’ ₹ 😀</t>
        </is>
      </c>
      <c r="H8" s="17" t="inlineStr">
        <is>
          <t>Spaces alone don't count as filled for a required field. Long text is either accepted or cut at the configured limit with a message; it never fails silently. HTML is shown as plain text, never rendered. Unicode and ₹ are saved and shown correctly.</t>
        </is>
      </c>
      <c r="I8" s="17" t="n"/>
      <c r="J8" s="18" t="n"/>
      <c r="K8" s="19" t="inlineStr">
        <is>
          <t>Not Run</t>
        </is>
      </c>
      <c r="L8" s="20" t="n"/>
      <c r="M8" s="20" t="n"/>
      <c r="N8" s="20" t="n"/>
      <c r="O8" s="21" t="n"/>
      <c r="P8" s="20" t="n"/>
    </row>
    <row r="9" ht="110" customHeight="1">
      <c r="A9" s="16" t="inlineStr">
        <is>
          <t>NTD-PO-008</t>
        </is>
      </c>
      <c r="B9" s="17" t="inlineStr">
        <is>
          <t>The PO form — fields and validation</t>
        </is>
      </c>
      <c r="C9" s="17" t="inlineStr">
        <is>
          <t>Number and amount fields</t>
        </is>
      </c>
      <c r="D9" s="18" t="inlineStr">
        <is>
          <t>Regression</t>
        </is>
      </c>
      <c r="E9" s="18" t="inlineStr">
        <is>
          <t>P1</t>
        </is>
      </c>
      <c r="F9" s="17" t="inlineStr">
        <is>
          <t>PO form open for a P-NTD proposal, with at least one vendor column visible.</t>
        </is>
      </c>
      <c r="G9" s="17" t="inlineStr">
        <is>
          <t>In a PO number or amount field, try 0, -5, 1.555, abc, 1e5, a 15-digit number, and pasting 1,00,000.</t>
        </is>
      </c>
      <c r="H9" s="17" t="inlineStr">
        <is>
          <t>• Letters can't be typed in.
• Negative values follow the field config (rejected if the field disallows them).
• Decimals are rounded or limited to the configured precision.
• Large values don't turn into scientific notation.
• The pasted Indian-format number is either parsed correctly or rejected with a clear message.</t>
        </is>
      </c>
      <c r="I9" s="17" t="n"/>
      <c r="J9" s="18" t="n"/>
      <c r="K9" s="19" t="inlineStr">
        <is>
          <t>Not Run</t>
        </is>
      </c>
      <c r="L9" s="20" t="n"/>
      <c r="M9" s="20" t="n"/>
      <c r="N9" s="20" t="n"/>
      <c r="O9" s="21" t="n"/>
      <c r="P9" s="20" t="n"/>
    </row>
    <row r="10" ht="58" customHeight="1">
      <c r="A10" s="16" t="inlineStr">
        <is>
          <t>NTD-PO-009</t>
        </is>
      </c>
      <c r="B10" s="17" t="inlineStr">
        <is>
          <t>The PO form — fields and validation</t>
        </is>
      </c>
      <c r="C10" s="17" t="inlineStr">
        <is>
          <t>Date fields</t>
        </is>
      </c>
      <c r="D10" s="18" t="inlineStr">
        <is>
          <t>Regression</t>
        </is>
      </c>
      <c r="E10" s="18" t="inlineStr">
        <is>
          <t>P1</t>
        </is>
      </c>
      <c r="F10" s="17" t="inlineStr">
        <is>
          <t>PO form open for a P-NTD proposal, with at least one vendor column visible.</t>
        </is>
      </c>
      <c r="G10" s="17" t="inlineStr">
        <is>
          <t>Open a PO date picker. Pick a past date, today, and a future date. Type an invalid date by hand. Clear the field.</t>
        </is>
      </c>
      <c r="H10" s="17" t="inlineStr">
        <is>
          <t>Any min/max rule is enforced, for example "delivery date can't be in the past". An invalid date typed by hand isn't saved. Clearing a required date leaves it empty and marked required.</t>
        </is>
      </c>
      <c r="I10" s="17" t="n"/>
      <c r="J10" s="18" t="n"/>
      <c r="K10" s="19" t="inlineStr">
        <is>
          <t>Not Run</t>
        </is>
      </c>
      <c r="L10" s="20" t="n"/>
      <c r="M10" s="20" t="n"/>
      <c r="N10" s="20" t="n"/>
      <c r="O10" s="21" t="n"/>
      <c r="P10" s="20" t="n"/>
    </row>
    <row r="11" ht="32" customHeight="1">
      <c r="A11" s="16" t="inlineStr">
        <is>
          <t>NTD-PO-010</t>
        </is>
      </c>
      <c r="B11" s="17" t="inlineStr">
        <is>
          <t>The PO form — fields and validation</t>
        </is>
      </c>
      <c r="C11" s="17" t="inlineStr">
        <is>
          <t>Dropdown fields</t>
        </is>
      </c>
      <c r="D11" s="18" t="inlineStr">
        <is>
          <t>Regression</t>
        </is>
      </c>
      <c r="E11" s="18" t="inlineStr">
        <is>
          <t>P2</t>
        </is>
      </c>
      <c r="F11" s="17" t="inlineStr">
        <is>
          <t>PO form open for a P-NTD proposal, with at least one vendor column visible.</t>
        </is>
      </c>
      <c r="G11" s="17" t="inlineStr">
        <is>
          <t>Open a PO dropdown. Search within it, pick a value, change it, then clear it.</t>
        </is>
      </c>
      <c r="H11" s="17" t="inlineStr">
        <is>
          <t>Search filters the options. Each change saves. Clearing a required dropdown leaves it marked required.</t>
        </is>
      </c>
      <c r="I11" s="17" t="n"/>
      <c r="J11" s="18" t="n"/>
      <c r="K11" s="19" t="inlineStr">
        <is>
          <t>Not Run</t>
        </is>
      </c>
      <c r="L11" s="20" t="n"/>
      <c r="M11" s="20" t="n"/>
      <c r="N11" s="20" t="n"/>
      <c r="O11" s="21" t="n"/>
      <c r="P11" s="20" t="n"/>
    </row>
    <row r="12" ht="32" customHeight="1">
      <c r="A12" s="16" t="inlineStr">
        <is>
          <t>NTD-PO-011</t>
        </is>
      </c>
      <c r="B12" s="17" t="inlineStr">
        <is>
          <t>The PO form — fields and validation</t>
        </is>
      </c>
      <c r="C12" s="17" t="inlineStr">
        <is>
          <t>Quick Fill copies values into the vendor column</t>
        </is>
      </c>
      <c r="D12" s="18" t="inlineStr">
        <is>
          <t>Regression</t>
        </is>
      </c>
      <c r="E12" s="18" t="inlineStr">
        <is>
          <t>P2</t>
        </is>
      </c>
      <c r="F12" s="17" t="inlineStr">
        <is>
          <t>PO form open for a P-NTD proposal, with at least one vendor column visible.</t>
        </is>
      </c>
      <c r="G12" s="17" t="inlineStr">
        <is>
          <t>Open Quick Fill for one vendor. Fill in values and apply.</t>
        </is>
      </c>
      <c r="H12" s="17" t="inlineStr">
        <is>
          <t>The values land in that vendor's column only and are saved. Other vendors' columns aren't touched.</t>
        </is>
      </c>
      <c r="I12" s="17" t="n"/>
      <c r="J12" s="18" t="n"/>
      <c r="K12" s="19" t="inlineStr">
        <is>
          <t>Not Run</t>
        </is>
      </c>
      <c r="L12" s="20" t="n"/>
      <c r="M12" s="20" t="n"/>
      <c r="N12" s="20" t="n"/>
      <c r="O12" s="21" t="n"/>
      <c r="P12" s="20" t="n"/>
    </row>
    <row r="13" ht="45" customHeight="1">
      <c r="A13" s="16" t="inlineStr">
        <is>
          <t>NTD-PO-012</t>
        </is>
      </c>
      <c r="B13" s="17" t="inlineStr">
        <is>
          <t>The PO form — fields and validation</t>
        </is>
      </c>
      <c r="C13" s="17" t="inlineStr">
        <is>
          <t>PO prefill from the last PO (if the tenant has it)</t>
        </is>
      </c>
      <c r="D13" s="18" t="inlineStr">
        <is>
          <t>Regression</t>
        </is>
      </c>
      <c r="E13" s="18" t="inlineStr">
        <is>
          <t>P2</t>
        </is>
      </c>
      <c r="F13" s="17" t="inlineStr">
        <is>
          <t>PO prefill on for the tenant. The vendor already has an older PO.</t>
        </is>
      </c>
      <c r="G13" s="17" t="inlineStr">
        <is>
          <t>Open the PO form and scroll so the vendor's column comes into view.</t>
        </is>
      </c>
      <c r="H13" s="17" t="inlineStr">
        <is>
          <t>Fields are prefilled from the vendor's last PO. The prefill is saved once and survives a reload. Prefilled values can still be edited.</t>
        </is>
      </c>
      <c r="I13" s="17" t="n"/>
      <c r="J13" s="18" t="n"/>
      <c r="K13" s="19" t="inlineStr">
        <is>
          <t>Not Run</t>
        </is>
      </c>
      <c r="L13" s="20" t="n"/>
      <c r="M13" s="20" t="n"/>
      <c r="N13" s="20" t="n"/>
      <c r="O13" s="21" t="n"/>
      <c r="P13" s="20" t="n"/>
    </row>
    <row r="14" ht="45" customHeight="1">
      <c r="A14" s="16" t="inlineStr">
        <is>
          <t>NTD-PO-013</t>
        </is>
      </c>
      <c r="B14" s="17" t="inlineStr">
        <is>
          <t>The PO form — fields and validation</t>
        </is>
      </c>
      <c r="C14" s="17" t="inlineStr">
        <is>
          <t>The LOA toggle and preview still work</t>
        </is>
      </c>
      <c r="D14" s="18" t="inlineStr">
        <is>
          <t>Regression</t>
        </is>
      </c>
      <c r="E14" s="18" t="inlineStr">
        <is>
          <t>P2</t>
        </is>
      </c>
      <c r="F14" s="17" t="inlineStr">
        <is>
          <t>An LOA template is available on the tenant.</t>
        </is>
      </c>
      <c r="G14" s="17" t="inlineStr">
        <is>
          <t>1. Switch on Send LOA for one vendor.
2. Click preview.
3. Close the preview.</t>
        </is>
      </c>
      <c r="H14" s="17" t="inlineStr">
        <is>
          <t>The preview modal shows the right vendor name and RFx number, and loads the LOA. The toggle state stays until submit. Retry works if the preview fails.</t>
        </is>
      </c>
      <c r="I14" s="17" t="n"/>
      <c r="J14" s="18" t="n"/>
      <c r="K14" s="19" t="inlineStr">
        <is>
          <t>Not Run</t>
        </is>
      </c>
      <c r="L14" s="20" t="n"/>
      <c r="M14" s="20" t="n"/>
      <c r="N14" s="20" t="n"/>
      <c r="O14" s="21" t="n"/>
      <c r="P14" s="20" t="n"/>
    </row>
    <row r="15" ht="32" customHeight="1">
      <c r="A15" s="16" t="inlineStr">
        <is>
          <t>NTD-PO-014</t>
        </is>
      </c>
      <c r="B15" s="17" t="inlineStr">
        <is>
          <t>The PO form — fields and validation</t>
        </is>
      </c>
      <c r="C15" s="17" t="inlineStr">
        <is>
          <t>No Submit button in read mode</t>
        </is>
      </c>
      <c r="D15" s="18" t="inlineStr">
        <is>
          <t>Regression</t>
        </is>
      </c>
      <c r="E15" s="18" t="inlineStr">
        <is>
          <t>P1</t>
        </is>
      </c>
      <c r="F15" s="17" t="inlineStr">
        <is>
          <t>A proposal that has already been submitted.</t>
        </is>
      </c>
      <c r="G15" s="17" t="inlineStr">
        <is>
          <t>Open its PO form.</t>
        </is>
      </c>
      <c r="H15" s="17" t="inlineStr">
        <is>
          <t>The form is read-only and Submit Proposal isn't shown.</t>
        </is>
      </c>
      <c r="I15" s="17" t="n"/>
      <c r="J15" s="18" t="n"/>
      <c r="K15" s="19" t="inlineStr">
        <is>
          <t>Not Run</t>
        </is>
      </c>
      <c r="L15" s="20" t="n"/>
      <c r="M15" s="20" t="n"/>
      <c r="N15" s="20" t="n"/>
      <c r="O15" s="21" t="n"/>
      <c r="P15" s="20" t="n"/>
    </row>
    <row r="16" ht="71" customHeight="1">
      <c r="A16" s="16" t="inlineStr">
        <is>
          <t>NTD-PO-015</t>
        </is>
      </c>
      <c r="B16" s="17" t="inlineStr">
        <is>
          <t>"Submit Proposal" on the PO form — the core change</t>
        </is>
      </c>
      <c r="C16" s="17" t="inlineStr">
        <is>
          <t>With NTD on, Submit Proposal takes you to the NTD form</t>
        </is>
      </c>
      <c r="D16" s="18" t="inlineStr">
        <is>
          <t>Functional</t>
        </is>
      </c>
      <c r="E16" s="18" t="inlineStr">
        <is>
          <t>P0</t>
        </is>
      </c>
      <c r="F16" s="17" t="inlineStr">
        <is>
          <t>P-NTD, PO form filled in completely.</t>
        </is>
      </c>
      <c r="G16" s="17" t="inlineStr">
        <is>
          <t>Click Submit Proposal at the top of the PO form.</t>
        </is>
      </c>
      <c r="H16" s="17" t="inlineStr">
        <is>
          <t>• The app goes to the proposal page for this project and this proposal.
• The Document (NTD) panel is open and editable.
• The approval modal does not open on the PO form.
• No proposal is submitted yet. The status is still draft.</t>
        </is>
      </c>
      <c r="I16" s="17" t="n"/>
      <c r="J16" s="18" t="n"/>
      <c r="K16" s="19" t="inlineStr">
        <is>
          <t>Not Run</t>
        </is>
      </c>
      <c r="L16" s="20" t="n"/>
      <c r="M16" s="20" t="n"/>
      <c r="N16" s="20" t="n"/>
      <c r="O16" s="21" t="n"/>
      <c r="P16" s="20" t="n"/>
    </row>
    <row r="17" ht="45" customHeight="1">
      <c r="A17" s="16" t="inlineStr">
        <is>
          <t>NTD-PO-016</t>
        </is>
      </c>
      <c r="B17" s="17" t="inlineStr">
        <is>
          <t>"Submit Proposal" on the PO form — the core change</t>
        </is>
      </c>
      <c r="C17" s="17" t="inlineStr">
        <is>
          <t>The NTD link points to the right project and proposal</t>
        </is>
      </c>
      <c r="D17" s="18" t="inlineStr">
        <is>
          <t>Functional</t>
        </is>
      </c>
      <c r="E17" s="18" t="inlineStr">
        <is>
          <t>P0</t>
        </is>
      </c>
      <c r="F17" s="17" t="inlineStr">
        <is>
          <t>Same as NTD-PO-015.</t>
        </is>
      </c>
      <c r="G17" s="17" t="inlineStr">
        <is>
          <t>Repeat NTD-PO-015 and check the URL and the page header.</t>
        </is>
      </c>
      <c r="H17" s="17" t="inlineStr">
        <is>
          <t>The URL has this project's uuid and this proposal's id, not another proposal's or version's. The header shows the right project title.</t>
        </is>
      </c>
      <c r="I17" s="17" t="n"/>
      <c r="J17" s="18" t="n"/>
      <c r="K17" s="19" t="inlineStr">
        <is>
          <t>Not Run</t>
        </is>
      </c>
      <c r="L17" s="20" t="n"/>
      <c r="M17" s="20" t="n"/>
      <c r="N17" s="20" t="n"/>
      <c r="O17" s="21" t="n"/>
      <c r="P17" s="20" t="n"/>
    </row>
    <row r="18" ht="45" customHeight="1">
      <c r="A18" s="16" t="inlineStr">
        <is>
          <t>NTD-PO-017</t>
        </is>
      </c>
      <c r="B18" s="17" t="inlineStr">
        <is>
          <t>"Submit Proposal" on the PO form — the core change</t>
        </is>
      </c>
      <c r="C18" s="17" t="inlineStr">
        <is>
          <t>With NTD off, the old approval modal still opens</t>
        </is>
      </c>
      <c r="D18" s="18" t="inlineStr">
        <is>
          <t>Regression</t>
        </is>
      </c>
      <c r="E18" s="18" t="inlineStr">
        <is>
          <t>P0</t>
        </is>
      </c>
      <c r="F18" s="17" t="inlineStr">
        <is>
          <t>P-NO-NTD.</t>
        </is>
      </c>
      <c r="G18" s="17" t="inlineStr">
        <is>
          <t>On the PO form, click Submit Proposal.</t>
        </is>
      </c>
      <c r="H18" s="17" t="inlineStr">
        <is>
          <t>The Submit Proposal approval modal opens on the PO form, as it did before the PR. The app doesn't navigate to the proposal page.</t>
        </is>
      </c>
      <c r="I18" s="17" t="n"/>
      <c r="J18" s="18" t="n"/>
      <c r="K18" s="19" t="inlineStr">
        <is>
          <t>Not Run</t>
        </is>
      </c>
      <c r="L18" s="20" t="n"/>
      <c r="M18" s="20" t="n"/>
      <c r="N18" s="20" t="n"/>
      <c r="O18" s="21" t="n"/>
      <c r="P18" s="20" t="n"/>
    </row>
    <row r="19" ht="71" customHeight="1">
      <c r="A19" s="16" t="inlineStr">
        <is>
          <t>NTD-PO-018</t>
        </is>
      </c>
      <c r="B19" s="17" t="inlineStr">
        <is>
          <t>"Submit Proposal" on the PO form — the core change</t>
        </is>
      </c>
      <c r="C19" s="17" t="inlineStr">
        <is>
          <t>A clear error if the project reference is missing</t>
        </is>
      </c>
      <c r="D19" s="18" t="inlineStr">
        <is>
          <t>Negative</t>
        </is>
      </c>
      <c r="E19" s="18" t="inlineStr">
        <is>
          <t>P1</t>
        </is>
      </c>
      <c r="F19" s="17" t="inlineStr">
        <is>
          <t>P-NTD. Simulate a missing item_uuid, for example by blocking the proposal-details call in DevTools or opening the PO form in a state where the proposal details didn't load.</t>
        </is>
      </c>
      <c r="G19" s="17" t="inlineStr">
        <is>
          <t>Click Submit Proposal.</t>
        </is>
      </c>
      <c r="H19" s="17" t="inlineStr">
        <is>
          <t>The error toast "Could not open the NTD form. Please refresh and retry." shows. The page stays on the PO form, with no blank page and no half-open modal. After a refresh, Submit works.</t>
        </is>
      </c>
      <c r="I19" s="17" t="n"/>
      <c r="J19" s="18" t="n"/>
      <c r="K19" s="19" t="inlineStr">
        <is>
          <t>Not Run</t>
        </is>
      </c>
      <c r="L19" s="20" t="n"/>
      <c r="M19" s="20" t="n"/>
      <c r="N19" s="20" t="n"/>
      <c r="O19" s="21" t="n"/>
      <c r="P19" s="20" t="n"/>
    </row>
    <row r="20" ht="71" customHeight="1">
      <c r="A20" s="16" t="inlineStr">
        <is>
          <t>NTD-PO-019</t>
        </is>
      </c>
      <c r="B20" s="17" t="inlineStr">
        <is>
          <t>"Submit Proposal" on the PO form — the core change</t>
        </is>
      </c>
      <c r="C20" s="17" t="inlineStr">
        <is>
          <t>What happens to a PO with empty mandatory fields</t>
        </is>
      </c>
      <c r="D20" s="18" t="inlineStr">
        <is>
          <t>Negative</t>
        </is>
      </c>
      <c r="E20" s="18" t="inlineStr">
        <is>
          <t>P0</t>
        </is>
      </c>
      <c r="F20" s="17" t="inlineStr">
        <is>
          <t>P-NTD. Leave one or more mandatory PO fields empty.</t>
        </is>
      </c>
      <c r="G20" s="17" t="inlineStr">
        <is>
          <t>Click Submit Proposal on the PO form.</t>
        </is>
      </c>
      <c r="H20" s="17" t="inlineStr">
        <is>
          <t>(To confirm) Either the PO form blocks the handoff and highlights the empty fields, or the final submit is blocked by the backend with a message that names the PO form. It must not be possible to submit the proposal with an incomplete PO.</t>
        </is>
      </c>
      <c r="I20" s="17" t="inlineStr">
        <is>
          <t>The PR redirects straight away without checking PO fields, so today this probably goes through to the NTD form. Log it as a bug if the final submit also succeeds.</t>
        </is>
      </c>
      <c r="J20" s="18" t="inlineStr">
        <is>
          <t>Suspected bug</t>
        </is>
      </c>
      <c r="K20" s="19" t="inlineStr">
        <is>
          <t>Not Run</t>
        </is>
      </c>
      <c r="L20" s="20" t="n"/>
      <c r="M20" s="20" t="n"/>
      <c r="N20" s="20" t="n"/>
      <c r="O20" s="21" t="n"/>
      <c r="P20" s="20" t="n"/>
    </row>
    <row r="21" ht="32" customHeight="1">
      <c r="A21" s="16" t="inlineStr">
        <is>
          <t>NTD-PO-020</t>
        </is>
      </c>
      <c r="B21" s="17" t="inlineStr">
        <is>
          <t>"Submit Proposal" on the PO form — the core change</t>
        </is>
      </c>
      <c r="C21" s="17" t="inlineStr">
        <is>
          <t>Clicking Submit Proposal twice</t>
        </is>
      </c>
      <c r="D21" s="18" t="inlineStr">
        <is>
          <t>Edge case</t>
        </is>
      </c>
      <c r="E21" s="18" t="inlineStr">
        <is>
          <t>P3</t>
        </is>
      </c>
      <c r="F21" s="17" t="inlineStr">
        <is>
          <t>P-NTD. PO form open and filled in.</t>
        </is>
      </c>
      <c r="G21" s="17" t="inlineStr">
        <is>
          <t>Double-click Submit Proposal on the PO form.</t>
        </is>
      </c>
      <c r="H21" s="17" t="inlineStr">
        <is>
          <t>One navigation to the NTD form. Browser Back takes you back to the PO form once, not to a second copy of the NTD page.</t>
        </is>
      </c>
      <c r="I21" s="17" t="n"/>
      <c r="J21" s="18" t="n"/>
      <c r="K21" s="19" t="inlineStr">
        <is>
          <t>Not Run</t>
        </is>
      </c>
      <c r="L21" s="20" t="n"/>
      <c r="M21" s="20" t="n"/>
      <c r="N21" s="20" t="n"/>
      <c r="O21" s="21" t="n"/>
      <c r="P21" s="20" t="n"/>
    </row>
    <row r="22" ht="58" customHeight="1">
      <c r="A22" s="16" t="inlineStr">
        <is>
          <t>NTD-PO-021</t>
        </is>
      </c>
      <c r="B22" s="17" t="inlineStr">
        <is>
          <t>"Submit Proposal" on the PO form — the core change</t>
        </is>
      </c>
      <c r="C22" s="17" t="inlineStr">
        <is>
          <t>Browser Back from the NTD form</t>
        </is>
      </c>
      <c r="D22" s="18" t="inlineStr">
        <is>
          <t>Edge case</t>
        </is>
      </c>
      <c r="E22" s="18" t="inlineStr">
        <is>
          <t>P1</t>
        </is>
      </c>
      <c r="F22" s="17" t="inlineStr">
        <is>
          <t>P-NTD. PO form filled in.</t>
        </is>
      </c>
      <c r="G22" s="17" t="inlineStr">
        <is>
          <t>1. Go from the PO form to the NTD form.
2. Press browser Back.</t>
        </is>
      </c>
      <c r="H22" s="17" t="inlineStr">
        <is>
          <t>The PO form opens again with every value intact and still editable. Clicking Submit Proposal again brings you back to the NTD form, and any NTD values you already entered are still there.</t>
        </is>
      </c>
      <c r="I22" s="17" t="n"/>
      <c r="J22" s="18" t="n"/>
      <c r="K22" s="19" t="inlineStr">
        <is>
          <t>Not Run</t>
        </is>
      </c>
      <c r="L22" s="20" t="n"/>
      <c r="M22" s="20" t="n"/>
      <c r="N22" s="20" t="n"/>
      <c r="O22" s="21" t="n"/>
      <c r="P22" s="20" t="n"/>
    </row>
    <row r="23" ht="45" customHeight="1">
      <c r="A23" s="16" t="inlineStr">
        <is>
          <t>NTD-PO-022</t>
        </is>
      </c>
      <c r="B23" s="17" t="inlineStr">
        <is>
          <t>"Submit Proposal" on the PO form — the core change</t>
        </is>
      </c>
      <c r="C23" s="17" t="inlineStr">
        <is>
          <t>Unsaved PO edit at the moment of Submit</t>
        </is>
      </c>
      <c r="D23" s="18" t="inlineStr">
        <is>
          <t>Edge case</t>
        </is>
      </c>
      <c r="E23" s="18" t="inlineStr">
        <is>
          <t>P2</t>
        </is>
      </c>
      <c r="F23" s="17" t="inlineStr">
        <is>
          <t>P-NTD. PO form open.</t>
        </is>
      </c>
      <c r="G23" s="17" t="inlineStr">
        <is>
          <t>Type into a PO field and, without clicking away, click Submit Proposal straight away.</t>
        </is>
      </c>
      <c r="H23" s="17" t="inlineStr">
        <is>
          <t>The last edit is still saved: when you go back to the PO form, the value is there. If it isn't, log it as a bug. The navigation shouldn't drop the pending save.</t>
        </is>
      </c>
      <c r="I23" s="17" t="n"/>
      <c r="J23" s="18" t="n"/>
      <c r="K23" s="19" t="inlineStr">
        <is>
          <t>Not Run</t>
        </is>
      </c>
      <c r="L23" s="20" t="n"/>
      <c r="M23" s="20" t="n"/>
      <c r="N23" s="20" t="n"/>
      <c r="O23" s="21" t="n"/>
      <c r="P23" s="20" t="n"/>
    </row>
    <row r="24" ht="71" customHeight="1">
      <c r="A24" s="16" t="inlineStr">
        <is>
          <t>NTD-PO-023</t>
        </is>
      </c>
      <c r="B24" s="17" t="inlineStr">
        <is>
          <t>"Submit Proposal" on the PO form — the core change</t>
        </is>
      </c>
      <c r="C24" s="17" t="inlineStr">
        <is>
          <t>The lot number is kept on the handoff (lot-based events)</t>
        </is>
      </c>
      <c r="D24" s="18" t="inlineStr">
        <is>
          <t>Functional</t>
        </is>
      </c>
      <c r="E24" s="18" t="inlineStr">
        <is>
          <t>P0</t>
        </is>
      </c>
      <c r="F24" s="17" t="inlineStr">
        <is>
          <t>P-NTD-LOT. Open the PO form for Lot 2.</t>
        </is>
      </c>
      <c r="G24" s="17" t="inlineStr">
        <is>
          <t>1. Click Submit Proposal.
2. Check the URL, the page title ("- Lot 2"), the approval sidebar, and the report download on the NTD page.</t>
        </is>
      </c>
      <c r="H24" s="17" t="inlineStr">
        <is>
          <t>Everything shows Lot 2. The approval sidebar lists Lot 2's approvals, not all lots or none. A report downloads for Lot 2.</t>
        </is>
      </c>
      <c r="I24" s="17" t="inlineStr">
        <is>
          <t>The redirect URL has no ?lotNo=. The title will probably be right, because it comes from the proposal data, but the sidebar and reports read lotNo from the URL. Check these carefully.</t>
        </is>
      </c>
      <c r="J24" s="18" t="inlineStr">
        <is>
          <t>Suspected bug</t>
        </is>
      </c>
      <c r="K24" s="19" t="inlineStr">
        <is>
          <t>Not Run</t>
        </is>
      </c>
      <c r="L24" s="20" t="n"/>
      <c r="M24" s="20" t="n"/>
      <c r="N24" s="20" t="n"/>
      <c r="O24" s="21" t="n"/>
      <c r="P24" s="20" t="n"/>
    </row>
    <row r="25" ht="58" customHeight="1">
      <c r="A25" s="16" t="inlineStr">
        <is>
          <t>NTD-PO-024</t>
        </is>
      </c>
      <c r="B25" s="17" t="inlineStr">
        <is>
          <t>"Submit Proposal" on the PO form — the core change</t>
        </is>
      </c>
      <c r="C25" s="17" t="inlineStr">
        <is>
          <t>The reorder flow with NTD on</t>
        </is>
      </c>
      <c r="D25" s="18" t="inlineStr">
        <is>
          <t>Edge case</t>
        </is>
      </c>
      <c r="E25" s="18" t="inlineStr">
        <is>
          <t>P1</t>
        </is>
      </c>
      <c r="F25" s="17" t="inlineStr">
        <is>
          <t>A reorder with ?source=reorder on the PO form URL, on a project where NTD is on.</t>
        </is>
      </c>
      <c r="G25" s="17" t="inlineStr">
        <is>
          <t>Click Submit Proposal.</t>
        </is>
      </c>
      <c r="H25" s="17" t="inlineStr">
        <is>
          <t>(To confirm) The code sends the user to the NTD form before it checks for the reorder flow, so the reorder approval modal no longer shows. Product should confirm this is intended. If it isn't, the reorder modal should open as before.</t>
        </is>
      </c>
      <c r="I25" s="17" t="n"/>
      <c r="J25" s="18" t="inlineStr">
        <is>
          <t>Needs product call</t>
        </is>
      </c>
      <c r="K25" s="19" t="inlineStr">
        <is>
          <t>Not Run</t>
        </is>
      </c>
      <c r="L25" s="20" t="n"/>
      <c r="M25" s="20" t="n"/>
      <c r="N25" s="20" t="n"/>
      <c r="O25" s="21" t="n"/>
      <c r="P25" s="20" t="n"/>
    </row>
    <row r="26" ht="58" customHeight="1">
      <c r="A26" s="16" t="inlineStr">
        <is>
          <t>NTD-PO-025</t>
        </is>
      </c>
      <c r="B26" s="17" t="inlineStr">
        <is>
          <t>"Submit Proposal" on the PO form — the core change</t>
        </is>
      </c>
      <c r="C26" s="17" t="inlineStr">
        <is>
          <t>Reorder without NTD is unchanged</t>
        </is>
      </c>
      <c r="D26" s="18" t="inlineStr">
        <is>
          <t>Regression</t>
        </is>
      </c>
      <c r="E26" s="18" t="inlineStr">
        <is>
          <t>P1</t>
        </is>
      </c>
      <c r="F26" s="17" t="inlineStr">
        <is>
          <t>Reorder on a project with NTD off.</t>
        </is>
      </c>
      <c r="G26" s="17" t="inlineStr">
        <is>
          <t>Click Submit Proposal.</t>
        </is>
      </c>
      <c r="H26" s="17" t="inlineStr">
        <is>
          <t>The Select Approval Flow reorder modal opens. Submit without choosing a flow shows "Please select an approval flow". Picking a flow and submitting takes you to Reorder Approvals.</t>
        </is>
      </c>
      <c r="I26" s="17" t="n"/>
      <c r="J26" s="18" t="n"/>
      <c r="K26" s="19" t="inlineStr">
        <is>
          <t>Not Run</t>
        </is>
      </c>
      <c r="L26" s="20" t="n"/>
      <c r="M26" s="20" t="n"/>
      <c r="N26" s="20" t="n"/>
      <c r="O26" s="21" t="n"/>
      <c r="P26" s="20" t="n"/>
    </row>
    <row r="27" ht="84" customHeight="1">
      <c r="A27" s="16" t="inlineStr">
        <is>
          <t>NTD-PO-026</t>
        </is>
      </c>
      <c r="B27" s="17" t="inlineStr">
        <is>
          <t>The NTD (entity) form</t>
        </is>
      </c>
      <c r="C27" s="17" t="inlineStr">
        <is>
          <t>The NTD form loads in draft with a default template</t>
        </is>
      </c>
      <c r="D27" s="18" t="inlineStr">
        <is>
          <t>Functional</t>
        </is>
      </c>
      <c r="E27" s="18" t="inlineStr">
        <is>
          <t>P0</t>
        </is>
      </c>
      <c r="F27" s="17" t="inlineStr">
        <is>
          <t>Arrived from the PO form (NTD-PO-015).</t>
        </is>
      </c>
      <c r="G27" s="17" t="inlineStr">
        <is>
          <t>Look at the Document panel.</t>
        </is>
      </c>
      <c r="H27" s="17" t="inlineStr">
        <is>
          <t>• The Proposal Template dropdown is shown. It holds the first saved template, or the one already chosen for this proposal.
• The template's sections and fields show and can be edited.
• The Submit Proposal button is shown at the top right.</t>
        </is>
      </c>
      <c r="I27" s="17" t="n"/>
      <c r="J27" s="18" t="n"/>
      <c r="K27" s="19" t="inlineStr">
        <is>
          <t>Not Run</t>
        </is>
      </c>
      <c r="L27" s="20" t="n"/>
      <c r="M27" s="20" t="n"/>
      <c r="N27" s="20" t="n"/>
      <c r="O27" s="21" t="n"/>
      <c r="P27" s="20" t="n"/>
    </row>
    <row r="28" ht="45" customHeight="1">
      <c r="A28" s="16" t="inlineStr">
        <is>
          <t>NTD-PO-027</t>
        </is>
      </c>
      <c r="B28" s="17" t="inlineStr">
        <is>
          <t>The NTD (entity) form</t>
        </is>
      </c>
      <c r="C28" s="17" t="inlineStr">
        <is>
          <t>Switching the template</t>
        </is>
      </c>
      <c r="D28" s="18" t="inlineStr">
        <is>
          <t>Functional</t>
        </is>
      </c>
      <c r="E28" s="18" t="inlineStr">
        <is>
          <t>P1</t>
        </is>
      </c>
      <c r="F28" s="17" t="inlineStr">
        <is>
          <t>P-NTD. On the NTD form, reached by clicking Submit Proposal on the PO form (NTD-PO-015).</t>
        </is>
      </c>
      <c r="G28" s="17" t="inlineStr">
        <is>
          <t>Change Proposal Template to another saved template.</t>
        </is>
      </c>
      <c r="H28" s="17" t="inlineStr">
        <is>
          <t>The sections switch to the new template's fields. Values typed into the old template aren't carried into the wrong fields.</t>
        </is>
      </c>
      <c r="I28" s="17" t="n"/>
      <c r="J28" s="18" t="n"/>
      <c r="K28" s="19" t="inlineStr">
        <is>
          <t>Not Run</t>
        </is>
      </c>
      <c r="L28" s="20" t="n"/>
      <c r="M28" s="20" t="n"/>
      <c r="N28" s="20" t="n"/>
      <c r="O28" s="21" t="n"/>
      <c r="P28" s="20" t="n"/>
    </row>
    <row r="29" ht="45" customHeight="1">
      <c r="A29" s="16" t="inlineStr">
        <is>
          <t>NTD-PO-028</t>
        </is>
      </c>
      <c r="B29" s="17" t="inlineStr">
        <is>
          <t>The NTD (entity) form</t>
        </is>
      </c>
      <c r="C29" s="17" t="inlineStr">
        <is>
          <t>Each section saves on its own</t>
        </is>
      </c>
      <c r="D29" s="18" t="inlineStr">
        <is>
          <t>Functional</t>
        </is>
      </c>
      <c r="E29" s="18" t="inlineStr">
        <is>
          <t>P0</t>
        </is>
      </c>
      <c r="F29" s="17" t="inlineStr">
        <is>
          <t>P-NTD. On the NTD form, reached by clicking Submit Proposal on the PO form (NTD-PO-015).</t>
        </is>
      </c>
      <c r="G29" s="17" t="inlineStr">
        <is>
          <t>Fill a field in section 1, then a field in section 2. Reload.</t>
        </is>
      </c>
      <c r="H29" s="17" t="inlineStr">
        <is>
          <t>A save fires for the section you changed only. After the reload, both values are still there.</t>
        </is>
      </c>
      <c r="I29" s="17" t="n"/>
      <c r="J29" s="18" t="n"/>
      <c r="K29" s="19" t="inlineStr">
        <is>
          <t>Not Run</t>
        </is>
      </c>
      <c r="L29" s="20" t="n"/>
      <c r="M29" s="20" t="n"/>
      <c r="N29" s="20" t="n"/>
      <c r="O29" s="21" t="n"/>
      <c r="P29" s="20" t="n"/>
    </row>
    <row r="30" ht="58" customHeight="1">
      <c r="A30" s="16" t="inlineStr">
        <is>
          <t>NTD-PO-029</t>
        </is>
      </c>
      <c r="B30" s="17" t="inlineStr">
        <is>
          <t>The NTD (entity) form</t>
        </is>
      </c>
      <c r="C30" s="17" t="inlineStr">
        <is>
          <t>Submitting an empty NTD form is blocked</t>
        </is>
      </c>
      <c r="D30" s="18" t="inlineStr">
        <is>
          <t>Negative</t>
        </is>
      </c>
      <c r="E30" s="18" t="inlineStr">
        <is>
          <t>P0</t>
        </is>
      </c>
      <c r="F30" s="17" t="inlineStr">
        <is>
          <t>P-NTD. On the NTD form, reached by clicking Submit Proposal on the PO form (NTD-PO-015).</t>
        </is>
      </c>
      <c r="G30" s="17" t="inlineStr">
        <is>
          <t>Leave every required field empty and click Submit Proposal.</t>
        </is>
      </c>
      <c r="H30" s="17" t="inlineStr">
        <is>
          <t>• The toast "Please fill all the required fields" shows.
• Each section with a missing field shows its error ("Please fill all required fields").
• The approval modal does not open.</t>
        </is>
      </c>
      <c r="I30" s="17" t="n"/>
      <c r="J30" s="18" t="n"/>
      <c r="K30" s="19" t="inlineStr">
        <is>
          <t>Not Run</t>
        </is>
      </c>
      <c r="L30" s="20" t="n"/>
      <c r="M30" s="20" t="n"/>
      <c r="N30" s="20" t="n"/>
      <c r="O30" s="21" t="n"/>
      <c r="P30" s="20" t="n"/>
    </row>
    <row r="31" ht="58" customHeight="1">
      <c r="A31" s="16" t="inlineStr">
        <is>
          <t>NTD-PO-030</t>
        </is>
      </c>
      <c r="B31" s="17" t="inlineStr">
        <is>
          <t>The NTD (entity) form</t>
        </is>
      </c>
      <c r="C31" s="17" t="inlineStr">
        <is>
          <t>Required text field</t>
        </is>
      </c>
      <c r="D31" s="18" t="inlineStr">
        <is>
          <t>Negative</t>
        </is>
      </c>
      <c r="E31" s="18" t="inlineStr">
        <is>
          <t>P1</t>
        </is>
      </c>
      <c r="F31" s="17" t="inlineStr">
        <is>
          <t>P-NTD. On the NTD form, reached by clicking Submit Proposal on the PO form (NTD-PO-015).</t>
        </is>
      </c>
      <c r="G31" s="17" t="inlineStr">
        <is>
          <t>Fill every required field except one text field, then submit. Next, fill it with spaces only and submit. Finally, fill it with real text and submit.</t>
        </is>
      </c>
      <c r="H31" s="17" t="inlineStr">
        <is>
          <t>An empty field blocks submit, and the error shows on that field's section. Real text lets you through. For spaces only, check whether they're treated as filled and log what you see. They ideally shouldn't count.</t>
        </is>
      </c>
      <c r="I31" s="17" t="n"/>
      <c r="J31" s="18" t="n"/>
      <c r="K31" s="19" t="inlineStr">
        <is>
          <t>Not Run</t>
        </is>
      </c>
      <c r="L31" s="20" t="n"/>
      <c r="M31" s="20" t="n"/>
      <c r="N31" s="20" t="n"/>
      <c r="O31" s="21" t="n"/>
      <c r="P31" s="20" t="n"/>
    </row>
    <row r="32" ht="45" customHeight="1">
      <c r="A32" s="16" t="inlineStr">
        <is>
          <t>NTD-PO-031</t>
        </is>
      </c>
      <c r="B32" s="17" t="inlineStr">
        <is>
          <t>The NTD (entity) form</t>
        </is>
      </c>
      <c r="C32" s="17" t="inlineStr">
        <is>
          <t>Optional fields don't block submit</t>
        </is>
      </c>
      <c r="D32" s="18" t="inlineStr">
        <is>
          <t>Functional</t>
        </is>
      </c>
      <c r="E32" s="18" t="inlineStr">
        <is>
          <t>P0</t>
        </is>
      </c>
      <c r="F32" s="17" t="inlineStr">
        <is>
          <t>P-NTD. On the NTD form, reached by clicking Submit Proposal on the PO form (NTD-PO-015).</t>
        </is>
      </c>
      <c r="G32" s="17" t="inlineStr">
        <is>
          <t>Fill only the required fields and leave the optional ones empty. Submit.</t>
        </is>
      </c>
      <c r="H32" s="17" t="inlineStr">
        <is>
          <t>No error. The approval modal opens.</t>
        </is>
      </c>
      <c r="I32" s="17" t="n"/>
      <c r="J32" s="18" t="n"/>
      <c r="K32" s="19" t="inlineStr">
        <is>
          <t>Not Run</t>
        </is>
      </c>
      <c r="L32" s="20" t="n"/>
      <c r="M32" s="20" t="n"/>
      <c r="N32" s="20" t="n"/>
      <c r="O32" s="21" t="n"/>
      <c r="P32" s="20" t="n"/>
    </row>
    <row r="33" ht="45" customHeight="1">
      <c r="A33" s="16" t="inlineStr">
        <is>
          <t>NTD-PO-032</t>
        </is>
      </c>
      <c r="B33" s="17" t="inlineStr">
        <is>
          <t>The NTD (entity) form</t>
        </is>
      </c>
      <c r="C33" s="17" t="inlineStr">
        <is>
          <t>A price or amount of 0 counts as filled</t>
        </is>
      </c>
      <c r="D33" s="18" t="inlineStr">
        <is>
          <t>Functional</t>
        </is>
      </c>
      <c r="E33" s="18" t="inlineStr">
        <is>
          <t>P1</t>
        </is>
      </c>
      <c r="F33" s="17" t="inlineStr">
        <is>
          <t>P-NTD. On the NTD form, reached by clicking Submit Proposal on the PO form (NTD-PO-015).</t>
        </is>
      </c>
      <c r="G33" s="17" t="inlineStr">
        <is>
          <t>Put 0 in a required price or amount field. Submit.</t>
        </is>
      </c>
      <c r="H33" s="17" t="inlineStr">
        <is>
          <t>It's accepted and doesn't count as empty.</t>
        </is>
      </c>
      <c r="I33" s="17" t="n"/>
      <c r="J33" s="18" t="n"/>
      <c r="K33" s="19" t="inlineStr">
        <is>
          <t>Not Run</t>
        </is>
      </c>
      <c r="L33" s="20" t="n"/>
      <c r="M33" s="20" t="n"/>
      <c r="N33" s="20" t="n"/>
      <c r="O33" s="21" t="n"/>
      <c r="P33" s="20" t="n"/>
    </row>
    <row r="34" ht="84" customHeight="1">
      <c r="A34" s="16" t="inlineStr">
        <is>
          <t>NTD-PO-033</t>
        </is>
      </c>
      <c r="B34" s="17" t="inlineStr">
        <is>
          <t>The NTD (entity) form</t>
        </is>
      </c>
      <c r="C34" s="17" t="inlineStr">
        <is>
          <t>Required number field (not price)</t>
        </is>
      </c>
      <c r="D34" s="18" t="inlineStr">
        <is>
          <t>Negative</t>
        </is>
      </c>
      <c r="E34" s="18" t="inlineStr">
        <is>
          <t>P2</t>
        </is>
      </c>
      <c r="F34" s="17" t="inlineStr">
        <is>
          <t>P-NTD. On the NTD form, reached by clicking Submit Proposal on the PO form (NTD-PO-015).</t>
        </is>
      </c>
      <c r="G34" s="17" t="inlineStr">
        <is>
          <t>Put 0 in a required plain number field. Submit. Then clear it and submit again.</t>
        </is>
      </c>
      <c r="H34" s="17" t="inlineStr">
        <is>
          <t>A cleared field must block submit. For 0, write down what happens. In this code, only price and amount fields are exempt from the "0 is empty" check, so a plain number field may reject 0 (it depends on whether the value is stored as the number 0 or the text "0"). Confirm with product which is intended.</t>
        </is>
      </c>
      <c r="I34" s="17" t="n"/>
      <c r="J34" s="18" t="inlineStr">
        <is>
          <t>Needs product call</t>
        </is>
      </c>
      <c r="K34" s="19" t="inlineStr">
        <is>
          <t>Not Run</t>
        </is>
      </c>
      <c r="L34" s="20" t="n"/>
      <c r="M34" s="20" t="n"/>
      <c r="N34" s="20" t="n"/>
      <c r="O34" s="21" t="n"/>
      <c r="P34" s="20" t="n"/>
    </row>
    <row r="35" ht="45" customHeight="1">
      <c r="A35" s="16" t="inlineStr">
        <is>
          <t>NTD-PO-034</t>
        </is>
      </c>
      <c r="B35" s="17" t="inlineStr">
        <is>
          <t>The NTD (entity) form</t>
        </is>
      </c>
      <c r="C35" s="17" t="inlineStr">
        <is>
          <t>Required dropdown, date and attachment fields</t>
        </is>
      </c>
      <c r="D35" s="18" t="inlineStr">
        <is>
          <t>Negative</t>
        </is>
      </c>
      <c r="E35" s="18" t="inlineStr">
        <is>
          <t>P1</t>
        </is>
      </c>
      <c r="F35" s="17" t="inlineStr">
        <is>
          <t>P-NTD. On the NTD form, reached by clicking Submit Proposal on the PO form (NTD-PO-015).</t>
        </is>
      </c>
      <c r="G35" s="17" t="inlineStr">
        <is>
          <t>For each type, leave it empty and submit, then fill it and submit again.</t>
        </is>
      </c>
      <c r="H35" s="17" t="inlineStr">
        <is>
          <t>Empty blocks submit with the section error. Filled lets you through. For an attachment, an upload that failed or is still running doesn't count as filled.</t>
        </is>
      </c>
      <c r="I35" s="17" t="n"/>
      <c r="J35" s="18" t="n"/>
      <c r="K35" s="19" t="inlineStr">
        <is>
          <t>Not Run</t>
        </is>
      </c>
      <c r="L35" s="20" t="n"/>
      <c r="M35" s="20" t="n"/>
      <c r="N35" s="20" t="n"/>
      <c r="O35" s="21" t="n"/>
      <c r="P35" s="20" t="n"/>
    </row>
    <row r="36" ht="32" customHeight="1">
      <c r="A36" s="16" t="inlineStr">
        <is>
          <t>NTD-PO-035</t>
        </is>
      </c>
      <c r="B36" s="17" t="inlineStr">
        <is>
          <t>The NTD (entity) form</t>
        </is>
      </c>
      <c r="C36" s="17" t="inlineStr">
        <is>
          <t>Grouped table: a partly filled row is caught</t>
        </is>
      </c>
      <c r="D36" s="18" t="inlineStr">
        <is>
          <t>Negative</t>
        </is>
      </c>
      <c r="E36" s="18" t="inlineStr">
        <is>
          <t>P1</t>
        </is>
      </c>
      <c r="F36" s="17" t="inlineStr">
        <is>
          <t>The template has a grouped-table section with required columns.</t>
        </is>
      </c>
      <c r="G36" s="17" t="inlineStr">
        <is>
          <t>Add a row and fill only some of the required columns. Submit.</t>
        </is>
      </c>
      <c r="H36" s="17" t="inlineStr">
        <is>
          <t>The section shows "Sheet partially filled". Submit is blocked.</t>
        </is>
      </c>
      <c r="I36" s="17" t="n"/>
      <c r="J36" s="18" t="n"/>
      <c r="K36" s="19" t="inlineStr">
        <is>
          <t>Not Run</t>
        </is>
      </c>
      <c r="L36" s="20" t="n"/>
      <c r="M36" s="20" t="n"/>
      <c r="N36" s="20" t="n"/>
      <c r="O36" s="21" t="n"/>
      <c r="P36" s="20" t="n"/>
    </row>
    <row r="37" ht="45" customHeight="1">
      <c r="A37" s="16" t="inlineStr">
        <is>
          <t>NTD-PO-036</t>
        </is>
      </c>
      <c r="B37" s="17" t="inlineStr">
        <is>
          <t>The NTD (entity) form</t>
        </is>
      </c>
      <c r="C37" s="17" t="inlineStr">
        <is>
          <t>Grouped table: a cleared required number cell</t>
        </is>
      </c>
      <c r="D37" s="18" t="inlineStr">
        <is>
          <t>Negative</t>
        </is>
      </c>
      <c r="E37" s="18" t="inlineStr">
        <is>
          <t>P1</t>
        </is>
      </c>
      <c r="F37" s="17" t="inlineStr">
        <is>
          <t>P-NTD template with a grouped-table section that has a required number or quantity column. On the NTD form.</t>
        </is>
      </c>
      <c r="G37" s="17" t="inlineStr">
        <is>
          <t>In a grouped-table row, type a number into a required number or quantity column, then delete it so the cell is empty. Submit.</t>
        </is>
      </c>
      <c r="H37" s="17" t="inlineStr">
        <is>
          <t>Submit should be blocked with "Sheet partially filled".</t>
        </is>
      </c>
      <c r="I37" s="17" t="inlineStr">
        <is>
          <t>In the code, Number("") is 0, which counts as valid. The empty cell will probably pass. Log it as a bug if it does.</t>
        </is>
      </c>
      <c r="J37" s="18" t="inlineStr">
        <is>
          <t>Suspected bug</t>
        </is>
      </c>
      <c r="K37" s="19" t="inlineStr">
        <is>
          <t>Not Run</t>
        </is>
      </c>
      <c r="L37" s="20" t="n"/>
      <c r="M37" s="20" t="n"/>
      <c r="N37" s="20" t="n"/>
      <c r="O37" s="21" t="n"/>
      <c r="P37" s="20" t="n"/>
    </row>
    <row r="38" ht="32" customHeight="1">
      <c r="A38" s="16" t="inlineStr">
        <is>
          <t>NTD-PO-037</t>
        </is>
      </c>
      <c r="B38" s="17" t="inlineStr">
        <is>
          <t>The NTD (entity) form</t>
        </is>
      </c>
      <c r="C38" s="17" t="inlineStr">
        <is>
          <t>Grouped table: the blank last row is ignored</t>
        </is>
      </c>
      <c r="D38" s="18" t="inlineStr">
        <is>
          <t>Functional</t>
        </is>
      </c>
      <c r="E38" s="18" t="inlineStr">
        <is>
          <t>P1</t>
        </is>
      </c>
      <c r="F38" s="17" t="inlineStr">
        <is>
          <t>P-NTD template with a grouped-table section. On the NTD form.</t>
        </is>
      </c>
      <c r="G38" s="17" t="inlineStr">
        <is>
          <t>Fill the required columns in all rows. Leave the trailing empty "new row" at the bottom as it is. Submit.</t>
        </is>
      </c>
      <c r="H38" s="17" t="inlineStr">
        <is>
          <t>No error. The empty last row isn't validated.</t>
        </is>
      </c>
      <c r="I38" s="17" t="n"/>
      <c r="J38" s="18" t="n"/>
      <c r="K38" s="19" t="inlineStr">
        <is>
          <t>Not Run</t>
        </is>
      </c>
      <c r="L38" s="20" t="n"/>
      <c r="M38" s="20" t="n"/>
      <c r="N38" s="20" t="n"/>
      <c r="O38" s="21" t="n"/>
      <c r="P38" s="20" t="n"/>
    </row>
    <row r="39" ht="32" customHeight="1">
      <c r="A39" s="16" t="inlineStr">
        <is>
          <t>NTD-PO-038</t>
        </is>
      </c>
      <c r="B39" s="17" t="inlineStr">
        <is>
          <t>The NTD (entity) form</t>
        </is>
      </c>
      <c r="C39" s="17" t="inlineStr">
        <is>
          <t>Read-only fields are never required</t>
        </is>
      </c>
      <c r="D39" s="18" t="inlineStr">
        <is>
          <t>Functional</t>
        </is>
      </c>
      <c r="E39" s="18" t="inlineStr">
        <is>
          <t>P2</t>
        </is>
      </c>
      <c r="F39" s="17" t="inlineStr">
        <is>
          <t>The template has a field marked both required and read-only. On the NTD form.</t>
        </is>
      </c>
      <c r="G39" s="17" t="inlineStr">
        <is>
          <t>The template has a field that is both required and read-only. Submit without touching it.</t>
        </is>
      </c>
      <c r="H39" s="17" t="inlineStr">
        <is>
          <t>It doesn't block submit.</t>
        </is>
      </c>
      <c r="I39" s="17" t="n"/>
      <c r="J39" s="18" t="n"/>
      <c r="K39" s="19" t="inlineStr">
        <is>
          <t>Not Run</t>
        </is>
      </c>
      <c r="L39" s="20" t="n"/>
      <c r="M39" s="20" t="n"/>
      <c r="N39" s="20" t="n"/>
      <c r="O39" s="21" t="n"/>
      <c r="P39" s="20" t="n"/>
    </row>
    <row r="40" ht="45" customHeight="1">
      <c r="A40" s="16" t="inlineStr">
        <is>
          <t>NTD-PO-039</t>
        </is>
      </c>
      <c r="B40" s="17" t="inlineStr">
        <is>
          <t>The NTD (entity) form</t>
        </is>
      </c>
      <c r="C40" s="17" t="inlineStr">
        <is>
          <t>BOQ section validation (if the template has one)</t>
        </is>
      </c>
      <c r="D40" s="18" t="inlineStr">
        <is>
          <t>Negative</t>
        </is>
      </c>
      <c r="E40" s="18" t="inlineStr">
        <is>
          <t>P2</t>
        </is>
      </c>
      <c r="F40" s="17" t="inlineStr">
        <is>
          <t>The template has a BOQ section. On the NTD form.</t>
        </is>
      </c>
      <c r="G40" s="17" t="inlineStr">
        <is>
          <t>1. Submit with no BOQ template picked.
2. Submit with a template but no data.
3. Submit with more line items than the limit.</t>
        </is>
      </c>
      <c r="H40" s="17" t="inlineStr">
        <is>
          <t>The error messages are, in order: "Please select a BOQ template", "Please upload correct BOQ data", and "You can have at max N line-items…".</t>
        </is>
      </c>
      <c r="I40" s="17" t="n"/>
      <c r="J40" s="18" t="n"/>
      <c r="K40" s="19" t="inlineStr">
        <is>
          <t>Not Run</t>
        </is>
      </c>
      <c r="L40" s="20" t="n"/>
      <c r="M40" s="20" t="n"/>
      <c r="N40" s="20" t="n"/>
      <c r="O40" s="21" t="n"/>
      <c r="P40" s="20" t="n"/>
    </row>
    <row r="41" ht="45" customHeight="1">
      <c r="A41" s="16" t="inlineStr">
        <is>
          <t>NTD-PO-040</t>
        </is>
      </c>
      <c r="B41" s="17" t="inlineStr">
        <is>
          <t>The NTD (entity) form</t>
        </is>
      </c>
      <c r="C41" s="17" t="inlineStr">
        <is>
          <t>Errors clear once fixed</t>
        </is>
      </c>
      <c r="D41" s="18" t="inlineStr">
        <is>
          <t>Functional</t>
        </is>
      </c>
      <c r="E41" s="18" t="inlineStr">
        <is>
          <t>P1</t>
        </is>
      </c>
      <c r="F41" s="17" t="inlineStr">
        <is>
          <t>P-NTD. On the NTD form, reached by clicking Submit Proposal on the PO form (NTD-PO-015).</t>
        </is>
      </c>
      <c r="G41" s="17" t="inlineStr">
        <is>
          <t>Trigger section errors (NTD-PO-029), fill the fields, and submit again.</t>
        </is>
      </c>
      <c r="H41" s="17" t="inlineStr">
        <is>
          <t>The errors go away. The approval modal opens.</t>
        </is>
      </c>
      <c r="I41" s="17" t="n"/>
      <c r="J41" s="18" t="n"/>
      <c r="K41" s="19" t="inlineStr">
        <is>
          <t>Not Run</t>
        </is>
      </c>
      <c r="L41" s="20" t="n"/>
      <c r="M41" s="20" t="n"/>
      <c r="N41" s="20" t="n"/>
      <c r="O41" s="21" t="n"/>
      <c r="P41" s="20" t="n"/>
    </row>
    <row r="42" ht="45" customHeight="1">
      <c r="A42" s="16" t="inlineStr">
        <is>
          <t>NTD-PO-041</t>
        </is>
      </c>
      <c r="B42" s="17" t="inlineStr">
        <is>
          <t>The NTD (entity) form</t>
        </is>
      </c>
      <c r="C42" s="17" t="inlineStr">
        <is>
          <t>Field-level input limits on the NTD form</t>
        </is>
      </c>
      <c r="D42" s="18" t="inlineStr">
        <is>
          <t>Negative</t>
        </is>
      </c>
      <c r="E42" s="18" t="inlineStr">
        <is>
          <t>P2</t>
        </is>
      </c>
      <c r="F42" s="17" t="inlineStr">
        <is>
          <t>P-NTD. On the NTD form, reached by clicking Submit Proposal on the PO form (NTD-PO-015).</t>
        </is>
      </c>
      <c r="G42" s="17" t="inlineStr">
        <is>
          <t>Repeat the input checks from NTD-PO-007 to NTD-PO-010 (long text, special characters, emoji, letters in number fields, decimals, invalid dates) on the NTD fields.</t>
        </is>
      </c>
      <c r="H42" s="17" t="inlineStr">
        <is>
          <t>Same rules as on the PO form. HTML is never rendered. Values save and reload correctly.</t>
        </is>
      </c>
      <c r="I42" s="17" t="n"/>
      <c r="J42" s="18" t="n"/>
      <c r="K42" s="19" t="inlineStr">
        <is>
          <t>Not Run</t>
        </is>
      </c>
      <c r="L42" s="20" t="n"/>
      <c r="M42" s="20" t="n"/>
      <c r="N42" s="20" t="n"/>
      <c r="O42" s="21" t="n"/>
      <c r="P42" s="20" t="n"/>
    </row>
    <row r="43" ht="71" customHeight="1">
      <c r="A43" s="16" t="inlineStr">
        <is>
          <t>NTD-PO-042</t>
        </is>
      </c>
      <c r="B43" s="17" t="inlineStr">
        <is>
          <t>"Submit Proposal" on the NTD form — the core change</t>
        </is>
      </c>
      <c r="C43" s="17" t="inlineStr">
        <is>
          <t>A valid NTD opens the approval modal and doesn't go back to the PO form</t>
        </is>
      </c>
      <c r="D43" s="18" t="inlineStr">
        <is>
          <t>Functional</t>
        </is>
      </c>
      <c r="E43" s="18" t="inlineStr">
        <is>
          <t>P0</t>
        </is>
      </c>
      <c r="F43" s="17" t="inlineStr">
        <is>
          <t>P-NTD. PO form filled, arrived at the NTD form, all required NTD fields filled.</t>
        </is>
      </c>
      <c r="G43" s="17" t="inlineStr">
        <is>
          <t>Click Submit Proposal.</t>
        </is>
      </c>
      <c r="H43" s="17" t="inlineStr">
        <is>
          <t>• The Submit Proposal approval modal opens on the proposal page, with a loader while approval flows load.
• The toast "Redirecting you to PO form..." does not show.
• No new PO is created, and the page doesn't go to the PO form.</t>
        </is>
      </c>
      <c r="I43" s="17" t="n"/>
      <c r="J43" s="18" t="n"/>
      <c r="K43" s="19" t="inlineStr">
        <is>
          <t>Not Run</t>
        </is>
      </c>
      <c r="L43" s="20" t="n"/>
      <c r="M43" s="20" t="n"/>
      <c r="N43" s="20" t="n"/>
      <c r="O43" s="21" t="n"/>
      <c r="P43" s="20" t="n"/>
    </row>
    <row r="44" ht="45" customHeight="1">
      <c r="A44" s="16" t="inlineStr">
        <is>
          <t>NTD-PO-043</t>
        </is>
      </c>
      <c r="B44" s="17" t="inlineStr">
        <is>
          <t>"Submit Proposal" on the NTD form — the core change</t>
        </is>
      </c>
      <c r="C44" s="17" t="inlineStr">
        <is>
          <t>Same behaviour when skip_custom_po is on</t>
        </is>
      </c>
      <c r="D44" s="18" t="inlineStr">
        <is>
          <t>Regression</t>
        </is>
      </c>
      <c r="E44" s="18" t="inlineStr">
        <is>
          <t>P1</t>
        </is>
      </c>
      <c r="F44" s="17" t="inlineStr">
        <is>
          <t>P-NTD-SKIP. From awarding, click Create Proposal; there's no PO form in this path.</t>
        </is>
      </c>
      <c r="G44" s="17" t="inlineStr">
        <is>
          <t>Fill the NTD form and click Submit Proposal.</t>
        </is>
      </c>
      <c r="H44" s="17" t="inlineStr">
        <is>
          <t>The approval modal opens, the same as before the PR.</t>
        </is>
      </c>
      <c r="I44" s="17" t="n"/>
      <c r="J44" s="18" t="n"/>
      <c r="K44" s="19" t="inlineStr">
        <is>
          <t>Not Run</t>
        </is>
      </c>
      <c r="L44" s="20" t="n"/>
      <c r="M44" s="20" t="n"/>
      <c r="N44" s="20" t="n"/>
      <c r="O44" s="21" t="n"/>
      <c r="P44" s="20" t="n"/>
    </row>
    <row r="45" ht="58" customHeight="1">
      <c r="A45" s="16" t="inlineStr">
        <is>
          <t>NTD-PO-044</t>
        </is>
      </c>
      <c r="B45" s="17" t="inlineStr">
        <is>
          <t>"Submit Proposal" on the NTD form — the core change</t>
        </is>
      </c>
      <c r="C45" s="17" t="inlineStr">
        <is>
          <t>Opening the NTD page directly without going through the PO form</t>
        </is>
      </c>
      <c r="D45" s="18" t="inlineStr">
        <is>
          <t>Negative</t>
        </is>
      </c>
      <c r="E45" s="18" t="inlineStr">
        <is>
          <t>P0</t>
        </is>
      </c>
      <c r="F45" s="17" t="inlineStr">
        <is>
          <t>P-NTD, skip_custom_po = false. The proposal has no PO filled. Open the proposal URL directly, or through the version dropdown.</t>
        </is>
      </c>
      <c r="G45" s="17" t="inlineStr">
        <is>
          <t>Fill the NTD form and submit until the final approval submit.</t>
        </is>
      </c>
      <c r="H45" s="17" t="inlineStr">
        <is>
          <t>(To confirm) The proposal shouldn't be submitted without a PO. Either the page points the user to the PO form, or the backend rejects the submit with a clear message.</t>
        </is>
      </c>
      <c r="I45" s="17" t="inlineStr">
        <is>
          <t>The PR removed the step that used to send users to the PO form from here, so this path now leads straight to approval.</t>
        </is>
      </c>
      <c r="J45" s="18" t="inlineStr">
        <is>
          <t>Suspected bug</t>
        </is>
      </c>
      <c r="K45" s="19" t="inlineStr">
        <is>
          <t>Not Run</t>
        </is>
      </c>
      <c r="L45" s="20" t="n"/>
      <c r="M45" s="20" t="n"/>
      <c r="N45" s="20" t="n"/>
      <c r="O45" s="21" t="n"/>
      <c r="P45" s="20" t="n"/>
    </row>
    <row r="46" ht="45" customHeight="1">
      <c r="A46" s="16" t="inlineStr">
        <is>
          <t>NTD-PO-045</t>
        </is>
      </c>
      <c r="B46" s="17" t="inlineStr">
        <is>
          <t>"Submit Proposal" on the NTD form — the core change</t>
        </is>
      </c>
      <c r="C46" s="17" t="inlineStr">
        <is>
          <t>Submit Proposal can't be fired twice</t>
        </is>
      </c>
      <c r="D46" s="18" t="inlineStr">
        <is>
          <t>Edge case</t>
        </is>
      </c>
      <c r="E46" s="18" t="inlineStr">
        <is>
          <t>P3</t>
        </is>
      </c>
      <c r="F46" s="17" t="inlineStr">
        <is>
          <t>P-NTD. NTD form open with every required field filled.</t>
        </is>
      </c>
      <c r="G46" s="17" t="inlineStr">
        <is>
          <t>Double-click Submit Proposal on a valid NTD form.</t>
        </is>
      </c>
      <c r="H46" s="17" t="inlineStr">
        <is>
          <t>One modal and one approval-flow fetch. The button shows a loader while it fetches.</t>
        </is>
      </c>
      <c r="I46" s="17" t="n"/>
      <c r="J46" s="18" t="n"/>
      <c r="K46" s="19" t="inlineStr">
        <is>
          <t>Not Run</t>
        </is>
      </c>
      <c r="L46" s="20" t="n"/>
      <c r="M46" s="20" t="n"/>
      <c r="N46" s="20" t="n"/>
      <c r="O46" s="21" t="n"/>
      <c r="P46" s="20" t="n"/>
    </row>
    <row r="47" ht="84" customHeight="1">
      <c r="A47" s="16" t="inlineStr">
        <is>
          <t>NTD-PO-046</t>
        </is>
      </c>
      <c r="B47" s="17" t="inlineStr">
        <is>
          <t>Final submit — the "Submit Proposal" approval modal</t>
        </is>
      </c>
      <c r="C47" s="17" t="inlineStr">
        <is>
          <t>What the modal shows</t>
        </is>
      </c>
      <c r="D47" s="18" t="inlineStr">
        <is>
          <t>Functional</t>
        </is>
      </c>
      <c r="E47" s="18" t="inlineStr">
        <is>
          <t>P1</t>
        </is>
      </c>
      <c r="F47" s="17" t="inlineStr">
        <is>
          <t>P-NTD. Approval modal open from a valid NTD form (NTD-PO-042).</t>
        </is>
      </c>
      <c r="G47" s="17" t="inlineStr">
        <is>
          <t>Open the modal (NTD-PO-042).</t>
        </is>
      </c>
      <c r="H47" s="17" t="inlineStr">
        <is>
          <t>• The title is Submit Proposal.
• A warning banner says submitting will revoke all active counter offers in this project.
• No. of Line Items and Total Proposal Value match the Overview panel on the proposal page.
• The footer has Cancel and a primary button.</t>
        </is>
      </c>
      <c r="I47" s="17" t="n"/>
      <c r="J47" s="18" t="n"/>
      <c r="K47" s="19" t="inlineStr">
        <is>
          <t>Not Run</t>
        </is>
      </c>
      <c r="L47" s="20" t="n"/>
      <c r="M47" s="20" t="n"/>
      <c r="N47" s="20" t="n"/>
      <c r="O47" s="21" t="n"/>
      <c r="P47" s="20" t="n"/>
    </row>
    <row r="48" ht="45" customHeight="1">
      <c r="A48" s="16" t="inlineStr">
        <is>
          <t>NTD-PO-047</t>
        </is>
      </c>
      <c r="B48" s="17" t="inlineStr">
        <is>
          <t>Final submit — the "Submit Proposal" approval modal</t>
        </is>
      </c>
      <c r="C48" s="17" t="inlineStr">
        <is>
          <t>The Master QCS link in the banner</t>
        </is>
      </c>
      <c r="D48" s="18" t="inlineStr">
        <is>
          <t>Functional</t>
        </is>
      </c>
      <c r="E48" s="18" t="inlineStr">
        <is>
          <t>P2</t>
        </is>
      </c>
      <c r="F48" s="17" t="inlineStr">
        <is>
          <t>P-NTD. Approval modal open from a valid NTD form (NTD-PO-042).</t>
        </is>
      </c>
      <c r="G48" s="17" t="inlineStr">
        <is>
          <t>Click the external-link icon on the warning banner. On P-NTD-LOT, do it from Lot 2.</t>
        </is>
      </c>
      <c r="H48" s="17" t="inlineStr">
        <is>
          <t>The project's Master QCS opens in a new tab, with ?lotNo=2 on lot-based events. The modal stays open in the original tab.</t>
        </is>
      </c>
      <c r="I48" s="17" t="n"/>
      <c r="J48" s="18" t="n"/>
      <c r="K48" s="19" t="inlineStr">
        <is>
          <t>Not Run</t>
        </is>
      </c>
      <c r="L48" s="20" t="n"/>
      <c r="M48" s="20" t="n"/>
      <c r="N48" s="20" t="n"/>
      <c r="O48" s="21" t="n"/>
      <c r="P48" s="20" t="n"/>
    </row>
    <row r="49" ht="58" customHeight="1">
      <c r="A49" s="16" t="inlineStr">
        <is>
          <t>NTD-PO-048</t>
        </is>
      </c>
      <c r="B49" s="17" t="inlineStr">
        <is>
          <t>Final submit — the "Submit Proposal" approval modal</t>
        </is>
      </c>
      <c r="C49" s="17" t="inlineStr">
        <is>
          <t>No approval workflows</t>
        </is>
      </c>
      <c r="D49" s="18" t="inlineStr">
        <is>
          <t>Functional</t>
        </is>
      </c>
      <c r="E49" s="18" t="inlineStr">
        <is>
          <t>P1</t>
        </is>
      </c>
      <c r="F49" s="17" t="inlineStr">
        <is>
          <t>The tenant has no approval flows for this project.</t>
        </is>
      </c>
      <c r="G49" s="17" t="inlineStr">
        <is>
          <t>Open the modal.</t>
        </is>
      </c>
      <c r="H49" s="17" t="inlineStr">
        <is>
          <t>• The modal shows "No Approval Workflow Found" and "No approval will be triggered as no approval workflows are found".
• The primary button reads Submit Proposal.
• Submitting works.</t>
        </is>
      </c>
      <c r="I49" s="17" t="n"/>
      <c r="J49" s="18" t="n"/>
      <c r="K49" s="19" t="inlineStr">
        <is>
          <t>Not Run</t>
        </is>
      </c>
      <c r="L49" s="20" t="n"/>
      <c r="M49" s="20" t="n"/>
      <c r="N49" s="20" t="n"/>
      <c r="O49" s="21" t="n"/>
      <c r="P49" s="20" t="n"/>
    </row>
    <row r="50" ht="58" customHeight="1">
      <c r="A50" s="16" t="inlineStr">
        <is>
          <t>NTD-PO-049</t>
        </is>
      </c>
      <c r="B50" s="17" t="inlineStr">
        <is>
          <t>Final submit — the "Submit Proposal" approval modal</t>
        </is>
      </c>
      <c r="C50" s="17" t="inlineStr">
        <is>
          <t>Exactly one approval workflow</t>
        </is>
      </c>
      <c r="D50" s="18" t="inlineStr">
        <is>
          <t>Functional</t>
        </is>
      </c>
      <c r="E50" s="18" t="inlineStr">
        <is>
          <t>P1</t>
        </is>
      </c>
      <c r="F50" s="17" t="inlineStr">
        <is>
          <t>Tenant has exactly one approval flow for this project. Approval modal open from a valid NTD form.</t>
        </is>
      </c>
      <c r="G50" s="17" t="inlineStr">
        <is>
          <t>Open the modal.</t>
        </is>
      </c>
      <c r="H50" s="17" t="inlineStr">
        <is>
          <t>The flow summary is shown straight away: Approval Type, Approval Flow Name with a description popover, clauses if any, and the approver stepper. The primary button reads Submit Proposal. There's no Next.</t>
        </is>
      </c>
      <c r="I50" s="17" t="n"/>
      <c r="J50" s="18" t="n"/>
      <c r="K50" s="19" t="inlineStr">
        <is>
          <t>Not Run</t>
        </is>
      </c>
      <c r="L50" s="20" t="n"/>
      <c r="M50" s="20" t="n"/>
      <c r="N50" s="20" t="n"/>
      <c r="O50" s="21" t="n"/>
      <c r="P50" s="20" t="n"/>
    </row>
    <row r="51" ht="97" customHeight="1">
      <c r="A51" s="16" t="inlineStr">
        <is>
          <t>NTD-PO-050</t>
        </is>
      </c>
      <c r="B51" s="17" t="inlineStr">
        <is>
          <t>Final submit — the "Submit Proposal" approval modal</t>
        </is>
      </c>
      <c r="C51" s="17" t="inlineStr">
        <is>
          <t>Several approval workflows: pick, then review</t>
        </is>
      </c>
      <c r="D51" s="18" t="inlineStr">
        <is>
          <t>Functional</t>
        </is>
      </c>
      <c r="E51" s="18" t="inlineStr">
        <is>
          <t>P1</t>
        </is>
      </c>
      <c r="F51" s="17" t="inlineStr">
        <is>
          <t>Tenant has more than one approval flow for this project. Approval modal open from a valid NTD form.</t>
        </is>
      </c>
      <c r="G51" s="17" t="inlineStr">
        <is>
          <t>1. Open the modal.
2. Search the flows by name.
3. Pick a flow with its radio button.
4. Click Next.
5. Click Back.
6. Pick a different flow and click Next again.</t>
        </is>
      </c>
      <c r="H51" s="17" t="inlineStr">
        <is>
          <t>• The first flow is pre-selected.
• Search filters the list, and a search with no match shows "No approval workflows found".
• Next shows the chosen flow's summary, and the button changes to Submit Proposal.
• Back returns to the list with your choice kept.
• The summary always matches the flow you picked.</t>
        </is>
      </c>
      <c r="I51" s="17" t="n"/>
      <c r="J51" s="18" t="n"/>
      <c r="K51" s="19" t="inlineStr">
        <is>
          <t>Not Run</t>
        </is>
      </c>
      <c r="L51" s="20" t="n"/>
      <c r="M51" s="20" t="n"/>
      <c r="N51" s="20" t="n"/>
      <c r="O51" s="21" t="n"/>
      <c r="P51" s="20" t="n"/>
    </row>
    <row r="52" ht="45" customHeight="1">
      <c r="A52" s="16" t="inlineStr">
        <is>
          <t>NTD-PO-051</t>
        </is>
      </c>
      <c r="B52" s="17" t="inlineStr">
        <is>
          <t>Final submit — the "Submit Proposal" approval modal</t>
        </is>
      </c>
      <c r="C52" s="17" t="inlineStr">
        <is>
          <t>Approver must be picked when the step asks for it</t>
        </is>
      </c>
      <c r="D52" s="18" t="inlineStr">
        <is>
          <t>Negative</t>
        </is>
      </c>
      <c r="E52" s="18" t="inlineStr">
        <is>
          <t>P0</t>
        </is>
      </c>
      <c r="F52" s="17" t="inlineStr">
        <is>
          <t>The chosen flow has a step with approver_select on.</t>
        </is>
      </c>
      <c r="G52" s="17" t="inlineStr">
        <is>
          <t>Click Submit Proposal without picking an approver for that step.</t>
        </is>
      </c>
      <c r="H52" s="17" t="inlineStr">
        <is>
          <t>The error "Please select at least one approver to proceed." shows. Nothing is submitted. After you pick an approver, submit goes through.</t>
        </is>
      </c>
      <c r="I52" s="17" t="n"/>
      <c r="J52" s="18" t="n"/>
      <c r="K52" s="19" t="inlineStr">
        <is>
          <t>Not Run</t>
        </is>
      </c>
      <c r="L52" s="20" t="n"/>
      <c r="M52" s="20" t="n"/>
      <c r="N52" s="20" t="n"/>
      <c r="O52" s="21" t="n"/>
      <c r="P52" s="20" t="n"/>
    </row>
    <row r="53" ht="58" customHeight="1">
      <c r="A53" s="16" t="inlineStr">
        <is>
          <t>NTD-PO-052</t>
        </is>
      </c>
      <c r="B53" s="17" t="inlineStr">
        <is>
          <t>Final submit — the "Submit Proposal" approval modal</t>
        </is>
      </c>
      <c r="C53" s="17" t="inlineStr">
        <is>
          <t>Approver search</t>
        </is>
      </c>
      <c r="D53" s="18" t="inlineStr">
        <is>
          <t>Functional</t>
        </is>
      </c>
      <c r="E53" s="18" t="inlineStr">
        <is>
          <t>P2</t>
        </is>
      </c>
      <c r="F53" s="17" t="inlineStr">
        <is>
          <t>P-NTD. Approval modal open from a valid NTD form (NTD-PO-042).</t>
        </is>
      </c>
      <c r="G53" s="17" t="inlineStr">
        <is>
          <t>In the approver picker, type part of a colleague's name. Try a name that doesn't exist and one with special characters.</t>
        </is>
      </c>
      <c r="H53" s="17" t="inlineStr">
        <is>
          <t>The results load after a short pause (debounced, not one call per key) and show only users from my teams. A name with no match shows an empty state. Special characters don't break the search.</t>
        </is>
      </c>
      <c r="I53" s="17" t="n"/>
      <c r="J53" s="18" t="n"/>
      <c r="K53" s="19" t="inlineStr">
        <is>
          <t>Not Run</t>
        </is>
      </c>
      <c r="L53" s="20" t="n"/>
      <c r="M53" s="20" t="n"/>
      <c r="N53" s="20" t="n"/>
      <c r="O53" s="21" t="n"/>
      <c r="P53" s="20" t="n"/>
    </row>
    <row r="54" ht="45" customHeight="1">
      <c r="A54" s="16" t="inlineStr">
        <is>
          <t>NTD-PO-053</t>
        </is>
      </c>
      <c r="B54" s="17" t="inlineStr">
        <is>
          <t>Final submit — the "Submit Proposal" approval modal</t>
        </is>
      </c>
      <c r="C54" s="17" t="inlineStr">
        <is>
          <t>Peer review step (if the tenant has it)</t>
        </is>
      </c>
      <c r="D54" s="18" t="inlineStr">
        <is>
          <t>Functional</t>
        </is>
      </c>
      <c r="E54" s="18" t="inlineStr">
        <is>
          <t>P2</t>
        </is>
      </c>
      <c r="F54" s="17" t="inlineStr">
        <is>
          <t>Peer review on.</t>
        </is>
      </c>
      <c r="G54" s="17" t="inlineStr">
        <is>
          <t>Open the summary.</t>
        </is>
      </c>
      <c r="H54" s="17" t="inlineStr">
        <is>
          <t>A peer step shows before the approval steps. The peer you pick is sent with the submit.</t>
        </is>
      </c>
      <c r="I54" s="17" t="n"/>
      <c r="J54" s="18" t="n"/>
      <c r="K54" s="19" t="inlineStr">
        <is>
          <t>Not Run</t>
        </is>
      </c>
      <c r="L54" s="20" t="n"/>
      <c r="M54" s="20" t="n"/>
      <c r="N54" s="20" t="n"/>
      <c r="O54" s="21" t="n"/>
      <c r="P54" s="20" t="n"/>
    </row>
    <row r="55" ht="110" customHeight="1">
      <c r="A55" s="16" t="inlineStr">
        <is>
          <t>NTD-PO-054</t>
        </is>
      </c>
      <c r="B55" s="17" t="inlineStr">
        <is>
          <t>Final submit — the "Submit Proposal" approval modal</t>
        </is>
      </c>
      <c r="C55" s="17" t="inlineStr">
        <is>
          <t>Closing remarks</t>
        </is>
      </c>
      <c r="D55" s="18" t="inlineStr">
        <is>
          <t>Functional</t>
        </is>
      </c>
      <c r="E55" s="18" t="inlineStr">
        <is>
          <t>P1</t>
        </is>
      </c>
      <c r="F55" s="17" t="inlineStr">
        <is>
          <t>P-NTD. Approval modal open from a valid NTD form (NTD-PO-042).</t>
        </is>
      </c>
      <c r="G55" s="17" t="inlineStr">
        <is>
          <t>In Closing Remarks, try each of these and submit:
• leave it empty
• a short remark
• bold text and a list (it's a rich-text editor)
• a very long remark (5,000+ characters)
• pasted content from Word
• &lt;script&gt;alert(1)&lt;/script&gt;
• emoji</t>
        </is>
      </c>
      <c r="H55" s="17" t="inlineStr">
        <is>
          <t>Empty remarks are allowed; the field is optional. Formatting is kept and shows correctly in the approval trail afterwards. Long text isn't cut off without a warning. The script is stored and shown as text and never runs. Emoji show correctly.</t>
        </is>
      </c>
      <c r="I55" s="17" t="n"/>
      <c r="J55" s="18" t="n"/>
      <c r="K55" s="19" t="inlineStr">
        <is>
          <t>Not Run</t>
        </is>
      </c>
      <c r="L55" s="20" t="n"/>
      <c r="M55" s="20" t="n"/>
      <c r="N55" s="20" t="n"/>
      <c r="O55" s="21" t="n"/>
      <c r="P55" s="20" t="n"/>
    </row>
    <row r="56" ht="110" customHeight="1">
      <c r="A56" s="16" t="inlineStr">
        <is>
          <t>NTD-PO-055</t>
        </is>
      </c>
      <c r="B56" s="17" t="inlineStr">
        <is>
          <t>Final submit — the "Submit Proposal" approval modal</t>
        </is>
      </c>
      <c r="C56" s="17" t="inlineStr">
        <is>
          <t>Attachments</t>
        </is>
      </c>
      <c r="D56" s="18" t="inlineStr">
        <is>
          <t>Functional</t>
        </is>
      </c>
      <c r="E56" s="18" t="inlineStr">
        <is>
          <t>P1</t>
        </is>
      </c>
      <c r="F56" s="17" t="inlineStr">
        <is>
          <t>P-NTD. Approval modal open from a valid NTD form (NTD-PO-042).</t>
        </is>
      </c>
      <c r="G56" s="17" t="inlineStr">
        <is>
          <t>1. Click the paper-clip icon.
2. Upload a PDF, then several files at once.
3. Try a type that isn't allowed, such as .exe.
4. Try a very large file.
5. Remove one attachment.
6. Submit.</t>
        </is>
      </c>
      <c r="H56" s="17" t="inlineStr">
        <is>
          <t>• A loader shows while files upload.
• Several files can be added at once.
• The file picker blocks types that aren't allowed.
• A failed upload shows the file-upload error and adds nothing to the list.
• A removed file is gone from the list and isn't sent.
• The attachments that are left show up on the approval afterwards.</t>
        </is>
      </c>
      <c r="I56" s="17" t="n"/>
      <c r="J56" s="18" t="n"/>
      <c r="K56" s="19" t="inlineStr">
        <is>
          <t>Not Run</t>
        </is>
      </c>
      <c r="L56" s="20" t="n"/>
      <c r="M56" s="20" t="n"/>
      <c r="N56" s="20" t="n"/>
      <c r="O56" s="21" t="n"/>
      <c r="P56" s="20" t="n"/>
    </row>
    <row r="57" ht="58" customHeight="1">
      <c r="A57" s="16" t="inlineStr">
        <is>
          <t>NTD-PO-056</t>
        </is>
      </c>
      <c r="B57" s="17" t="inlineStr">
        <is>
          <t>Final submit — the "Submit Proposal" approval modal</t>
        </is>
      </c>
      <c r="C57" s="17" t="inlineStr">
        <is>
          <t>Cancel and close</t>
        </is>
      </c>
      <c r="D57" s="18" t="inlineStr">
        <is>
          <t>Edge case</t>
        </is>
      </c>
      <c r="E57" s="18" t="inlineStr">
        <is>
          <t>P3</t>
        </is>
      </c>
      <c r="F57" s="17" t="inlineStr">
        <is>
          <t>P-NTD. Approval modal open from a valid NTD form (NTD-PO-042).</t>
        </is>
      </c>
      <c r="G57" s="17" t="inlineStr">
        <is>
          <t>1. Get to the summary step (NTD-PO-050), type a remark and close the modal with X. Open it again.
2. Get to the summary step again, click Cancel and open it again.</t>
        </is>
      </c>
      <c r="H57" s="17" t="inlineStr">
        <is>
          <t>Both ways of closing should leave the modal in the same state when it reopens.</t>
        </is>
      </c>
      <c r="I57" s="17" t="inlineStr">
        <is>
          <t>In the code, the X resets to the flow list. Cancel doesn't reset anything, so the modal reopens on the summary. Log whatever you see, as a low-priority inconsistency.</t>
        </is>
      </c>
      <c r="J57" s="18" t="inlineStr">
        <is>
          <t>Needs product call</t>
        </is>
      </c>
      <c r="K57" s="19" t="inlineStr">
        <is>
          <t>Not Run</t>
        </is>
      </c>
      <c r="L57" s="20" t="n"/>
      <c r="M57" s="20" t="n"/>
      <c r="N57" s="20" t="n"/>
      <c r="O57" s="21" t="n"/>
      <c r="P57" s="20" t="n"/>
    </row>
    <row r="58" ht="123" customHeight="1">
      <c r="A58" s="16" t="inlineStr">
        <is>
          <t>NTD-PO-057</t>
        </is>
      </c>
      <c r="B58" s="17" t="inlineStr">
        <is>
          <t>Final submit — the "Submit Proposal" approval modal</t>
        </is>
      </c>
      <c r="C58" s="17" t="inlineStr">
        <is>
          <t>Successful final submit with NTD on</t>
        </is>
      </c>
      <c r="D58" s="18" t="inlineStr">
        <is>
          <t>Functional</t>
        </is>
      </c>
      <c r="E58" s="18" t="inlineStr">
        <is>
          <t>P0</t>
        </is>
      </c>
      <c r="F58" s="17" t="inlineStr">
        <is>
          <t>P-NTD. Approval modal open from a valid NTD form (NTD-PO-042).</t>
        </is>
      </c>
      <c r="G58" s="17" t="inlineStr">
        <is>
          <t>Complete the modal and click Submit Proposal.</t>
        </is>
      </c>
      <c r="H58" s="17" t="inlineStr">
        <is>
          <t>• The button shows a loader and is disabled while submitting.
• The toast "Proposal submitted successfully" shows.
• The modal closes and you stay on the proposal page. There's no redirect to the events list.
• The proposal is no longer draft. The NTD form becomes read-only. The template dropdown disappears. Submit Proposal is replaced by Go back to project.
• The approval sidebar shows the new approval trail.</t>
        </is>
      </c>
      <c r="I58" s="17" t="n"/>
      <c r="J58" s="18" t="n"/>
      <c r="K58" s="19" t="inlineStr">
        <is>
          <t>Not Run</t>
        </is>
      </c>
      <c r="L58" s="20" t="n"/>
      <c r="M58" s="20" t="n"/>
      <c r="N58" s="20" t="n"/>
      <c r="O58" s="21" t="n"/>
      <c r="P58" s="20" t="n"/>
    </row>
    <row r="59" ht="45" customHeight="1">
      <c r="A59" s="16" t="inlineStr">
        <is>
          <t>NTD-PO-058</t>
        </is>
      </c>
      <c r="B59" s="17" t="inlineStr">
        <is>
          <t>Final submit — the "Submit Proposal" approval modal</t>
        </is>
      </c>
      <c r="C59" s="17" t="inlineStr">
        <is>
          <t>Final submit fails</t>
        </is>
      </c>
      <c r="D59" s="18" t="inlineStr">
        <is>
          <t>Negative</t>
        </is>
      </c>
      <c r="E59" s="18" t="inlineStr">
        <is>
          <t>P1</t>
        </is>
      </c>
      <c r="F59" s="17" t="inlineStr">
        <is>
          <t>Make the submit call fail, for example by blocking it in DevTools or using data the backend rejects.</t>
        </is>
      </c>
      <c r="G59" s="17" t="inlineStr">
        <is>
          <t>Click Submit Proposal in the modal.</t>
        </is>
      </c>
      <c r="H59" s="17" t="inlineStr">
        <is>
          <t>An error shows ("Proposal submission failed" or the backend's message). The proposal stays in draft, and the NTD and PO values are kept.</t>
        </is>
      </c>
      <c r="I59" s="17" t="inlineStr">
        <is>
          <t>The modal also closes on failure, which throws away the remarks and attachments. Check with product whether that's acceptable.</t>
        </is>
      </c>
      <c r="J59" s="18" t="inlineStr">
        <is>
          <t>Suspected bug</t>
        </is>
      </c>
      <c r="K59" s="19" t="inlineStr">
        <is>
          <t>Not Run</t>
        </is>
      </c>
      <c r="L59" s="20" t="n"/>
      <c r="M59" s="20" t="n"/>
      <c r="N59" s="20" t="n"/>
      <c r="O59" s="21" t="n"/>
      <c r="P59" s="20" t="n"/>
    </row>
    <row r="60" ht="45" customHeight="1">
      <c r="A60" s="16" t="inlineStr">
        <is>
          <t>NTD-PO-059</t>
        </is>
      </c>
      <c r="B60" s="17" t="inlineStr">
        <is>
          <t>Final submit — the "Submit Proposal" approval modal</t>
        </is>
      </c>
      <c r="C60" s="17" t="inlineStr">
        <is>
          <t>Final submit clicked twice</t>
        </is>
      </c>
      <c r="D60" s="18" t="inlineStr">
        <is>
          <t>Edge case</t>
        </is>
      </c>
      <c r="E60" s="18" t="inlineStr">
        <is>
          <t>P1</t>
        </is>
      </c>
      <c r="F60" s="17" t="inlineStr">
        <is>
          <t>P-NTD. Approval modal open from a valid NTD form (NTD-PO-042).</t>
        </is>
      </c>
      <c r="G60" s="17" t="inlineStr">
        <is>
          <t>Double-click Submit Proposal in the modal.</t>
        </is>
      </c>
      <c r="H60" s="17" t="inlineStr">
        <is>
          <t>Only one submit call and one approval are created.</t>
        </is>
      </c>
      <c r="I60" s="17" t="n"/>
      <c r="J60" s="18" t="n"/>
      <c r="K60" s="19" t="inlineStr">
        <is>
          <t>Not Run</t>
        </is>
      </c>
      <c r="L60" s="20" t="n"/>
      <c r="M60" s="20" t="n"/>
      <c r="N60" s="20" t="n"/>
      <c r="O60" s="21" t="n"/>
      <c r="P60" s="20" t="n"/>
    </row>
    <row r="61" ht="58" customHeight="1">
      <c r="A61" s="16" t="inlineStr">
        <is>
          <t>NTD-PO-060</t>
        </is>
      </c>
      <c r="B61" s="17" t="inlineStr">
        <is>
          <t>Final submit — the "Submit Proposal" approval modal</t>
        </is>
      </c>
      <c r="C61" s="17" t="inlineStr">
        <is>
          <t>Final submit from the PO form with NTD off</t>
        </is>
      </c>
      <c r="D61" s="18" t="inlineStr">
        <is>
          <t>Regression</t>
        </is>
      </c>
      <c r="E61" s="18" t="inlineStr">
        <is>
          <t>P0</t>
        </is>
      </c>
      <c r="F61" s="17" t="inlineStr">
        <is>
          <t>P-NO-NTD.</t>
        </is>
      </c>
      <c r="G61" s="17" t="inlineStr">
        <is>
          <t>From the PO form, open the modal (NTD-PO-017) and submit it.</t>
        </is>
      </c>
      <c r="H61" s="17" t="inlineStr">
        <is>
          <t>"Proposal submitted successfully", then "Redirecting to events screen...", and the events list opens about 1.5 seconds later. If LOA was switched on for a vendor, LOA is sent for that vendor only.</t>
        </is>
      </c>
      <c r="I61" s="17" t="n"/>
      <c r="J61" s="18" t="n"/>
      <c r="K61" s="19" t="inlineStr">
        <is>
          <t>Not Run</t>
        </is>
      </c>
      <c r="L61" s="20" t="n"/>
      <c r="M61" s="20" t="n"/>
      <c r="N61" s="20" t="n"/>
      <c r="O61" s="21" t="n"/>
      <c r="P61" s="20" t="n"/>
    </row>
    <row r="62" ht="32" customHeight="1">
      <c r="A62" s="16" t="inlineStr">
        <is>
          <t>NTD-PO-061</t>
        </is>
      </c>
      <c r="B62" s="17" t="inlineStr">
        <is>
          <t>After submit and edge cases</t>
        </is>
      </c>
      <c r="C62" s="17" t="inlineStr">
        <is>
          <t>The PO form after submit</t>
        </is>
      </c>
      <c r="D62" s="18" t="inlineStr">
        <is>
          <t>Functional</t>
        </is>
      </c>
      <c r="E62" s="18" t="inlineStr">
        <is>
          <t>P1</t>
        </is>
      </c>
      <c r="F62" s="17" t="inlineStr">
        <is>
          <t>Proposal submitted through the new flow (NTD-PO-057).</t>
        </is>
      </c>
      <c r="G62" s="17" t="inlineStr">
        <is>
          <t>After NTD-PO-057, open Proposed PO Form.</t>
        </is>
      </c>
      <c r="H62" s="17" t="inlineStr">
        <is>
          <t>The PO form is read-only with every value you entered. There's no Submit Proposal button.</t>
        </is>
      </c>
      <c r="I62" s="17" t="n"/>
      <c r="J62" s="18" t="n"/>
      <c r="K62" s="19" t="inlineStr">
        <is>
          <t>Not Run</t>
        </is>
      </c>
      <c r="L62" s="20" t="n"/>
      <c r="M62" s="20" t="n"/>
      <c r="N62" s="20" t="n"/>
      <c r="O62" s="21" t="n"/>
      <c r="P62" s="20" t="n"/>
    </row>
    <row r="63" ht="45" customHeight="1">
      <c r="A63" s="16" t="inlineStr">
        <is>
          <t>NTD-PO-062</t>
        </is>
      </c>
      <c r="B63" s="17" t="inlineStr">
        <is>
          <t>After submit and edge cases</t>
        </is>
      </c>
      <c r="C63" s="17" t="inlineStr">
        <is>
          <t>The data that was submitted is correct</t>
        </is>
      </c>
      <c r="D63" s="18" t="inlineStr">
        <is>
          <t>Functional</t>
        </is>
      </c>
      <c r="E63" s="18" t="inlineStr">
        <is>
          <t>P1</t>
        </is>
      </c>
      <c r="F63" s="17" t="inlineStr">
        <is>
          <t>Proposal submitted through the new flow (NTD-PO-057).</t>
        </is>
      </c>
      <c r="G63" s="17" t="inlineStr">
        <is>
          <t>After submit, check the approval request as an approver, then download the proposal report.</t>
        </is>
      </c>
      <c r="H63" s="17" t="inlineStr">
        <is>
          <t>The NTD answers, PO values, remarks and attachments all match what you entered, for the right vendors and the right lot.</t>
        </is>
      </c>
      <c r="I63" s="17" t="n"/>
      <c r="J63" s="18" t="n"/>
      <c r="K63" s="19" t="inlineStr">
        <is>
          <t>Not Run</t>
        </is>
      </c>
      <c r="L63" s="20" t="n"/>
      <c r="M63" s="20" t="n"/>
      <c r="N63" s="20" t="n"/>
      <c r="O63" s="21" t="n"/>
      <c r="P63" s="20" t="n"/>
    </row>
    <row r="64" ht="45" customHeight="1">
      <c r="A64" s="16" t="inlineStr">
        <is>
          <t>NTD-PO-063</t>
        </is>
      </c>
      <c r="B64" s="17" t="inlineStr">
        <is>
          <t>After submit and edge cases</t>
        </is>
      </c>
      <c r="C64" s="17" t="inlineStr">
        <is>
          <t>Withdraw and resubmit</t>
        </is>
      </c>
      <c r="D64" s="18" t="inlineStr">
        <is>
          <t>Functional</t>
        </is>
      </c>
      <c r="E64" s="18" t="inlineStr">
        <is>
          <t>P2</t>
        </is>
      </c>
      <c r="F64" s="17" t="inlineStr">
        <is>
          <t>Proposal submitted through the new flow, approval still pending.</t>
        </is>
      </c>
      <c r="G64" s="17" t="inlineStr">
        <is>
          <t>From the proposal menu, withdraw the approval. Go through PO form → NTD → final submit again.</t>
        </is>
      </c>
      <c r="H64" s="17" t="inlineStr">
        <is>
          <t>The same new order is followed. The earlier values are prefilled where the product keeps them. The new approval is created cleanly.</t>
        </is>
      </c>
      <c r="I64" s="17" t="n"/>
      <c r="J64" s="18" t="n"/>
      <c r="K64" s="19" t="inlineStr">
        <is>
          <t>Not Run</t>
        </is>
      </c>
      <c r="L64" s="20" t="n"/>
      <c r="M64" s="20" t="n"/>
      <c r="N64" s="20" t="n"/>
      <c r="O64" s="21" t="n"/>
      <c r="P64" s="20" t="n"/>
    </row>
    <row r="65" ht="58" customHeight="1">
      <c r="A65" s="16" t="inlineStr">
        <is>
          <t>NTD-PO-064</t>
        </is>
      </c>
      <c r="B65" s="17" t="inlineStr">
        <is>
          <t>After submit and edge cases</t>
        </is>
      </c>
      <c r="C65" s="17" t="inlineStr">
        <is>
          <t>The two NTD flags disagree</t>
        </is>
      </c>
      <c r="D65" s="18" t="inlineStr">
        <is>
          <t>Edge case</t>
        </is>
      </c>
      <c r="E65" s="18" t="inlineStr">
        <is>
          <t>P2</t>
        </is>
      </c>
      <c r="F65" s="17" t="inlineStr">
        <is>
          <t>Ask backend/dev for a proposal where the PO schema config says ntd_required_on_proposal = true and the project config says false, then the other way round.</t>
        </is>
      </c>
      <c r="G65" s="17" t="inlineStr">
        <is>
          <t>Go through PO form → Submit Proposal each time.</t>
        </is>
      </c>
      <c r="H65" s="17" t="inlineStr">
        <is>
          <t>In neither case does the user end up stuck or loop between pages. PO on / project off takes you to a proposal page with no Document panel. Its Submit must still open the approval modal.</t>
        </is>
      </c>
      <c r="I65" s="17" t="n"/>
      <c r="J65" s="18" t="inlineStr">
        <is>
          <t>Needs product call</t>
        </is>
      </c>
      <c r="K65" s="19" t="inlineStr">
        <is>
          <t>Not Run</t>
        </is>
      </c>
      <c r="L65" s="20" t="n"/>
      <c r="M65" s="20" t="n"/>
      <c r="N65" s="20" t="n"/>
      <c r="O65" s="21" t="n"/>
      <c r="P65" s="20" t="n"/>
    </row>
    <row r="66" ht="32" customHeight="1">
      <c r="A66" s="16" t="inlineStr">
        <is>
          <t>NTD-PO-065</t>
        </is>
      </c>
      <c r="B66" s="17" t="inlineStr">
        <is>
          <t>After submit and edge cases</t>
        </is>
      </c>
      <c r="C66" s="17" t="inlineStr">
        <is>
          <t>A user without edit rights</t>
        </is>
      </c>
      <c r="D66" s="18" t="inlineStr">
        <is>
          <t>Negative</t>
        </is>
      </c>
      <c r="E66" s="18" t="inlineStr">
        <is>
          <t>P2</t>
        </is>
      </c>
      <c r="F66" s="17" t="inlineStr">
        <is>
          <t>Second buyer with read-only access to the P-NTD project.</t>
        </is>
      </c>
      <c r="G66" s="17" t="inlineStr">
        <is>
          <t>Log in as the second buyer (read-only on the project) and open the PO form and the proposal page.</t>
        </is>
      </c>
      <c r="H66" s="17" t="inlineStr">
        <is>
          <t>Neither page offers Submit Proposal. The NTD fields can't be edited.</t>
        </is>
      </c>
      <c r="I66" s="17" t="n"/>
      <c r="J66" s="18" t="n"/>
      <c r="K66" s="19" t="inlineStr">
        <is>
          <t>Not Run</t>
        </is>
      </c>
      <c r="L66" s="20" t="n"/>
      <c r="M66" s="20" t="n"/>
      <c r="N66" s="20" t="n"/>
      <c r="O66" s="21" t="n"/>
      <c r="P66" s="20" t="n"/>
    </row>
    <row r="67" ht="45" customHeight="1">
      <c r="A67" s="16" t="inlineStr">
        <is>
          <t>NTD-PO-066</t>
        </is>
      </c>
      <c r="B67" s="17" t="inlineStr">
        <is>
          <t>After submit and edge cases</t>
        </is>
      </c>
      <c r="C67" s="17" t="inlineStr">
        <is>
          <t>Two lots, one after the other</t>
        </is>
      </c>
      <c r="D67" s="18" t="inlineStr">
        <is>
          <t>Functional</t>
        </is>
      </c>
      <c r="E67" s="18" t="inlineStr">
        <is>
          <t>P1</t>
        </is>
      </c>
      <c r="F67" s="17" t="inlineStr">
        <is>
          <t>P-NTD-LOT.</t>
        </is>
      </c>
      <c r="G67" s="17" t="inlineStr">
        <is>
          <t>Complete the full flow for Lot 1, then for Lot 2.</t>
        </is>
      </c>
      <c r="H67" s="17" t="inlineStr">
        <is>
          <t>Each lot has its own PO, NTD and approval. Lot 2's NTD doesn't show Lot 1's answers, and the approval sidebar is scoped to the lot you are on.</t>
        </is>
      </c>
      <c r="I67" s="17" t="n"/>
      <c r="J67" s="18" t="n"/>
      <c r="K67" s="19" t="inlineStr">
        <is>
          <t>Not Run</t>
        </is>
      </c>
      <c r="L67" s="20" t="n"/>
      <c r="M67" s="20" t="n"/>
      <c r="N67" s="20" t="n"/>
      <c r="O67" s="21" t="n"/>
      <c r="P67" s="20" t="n"/>
    </row>
  </sheetData>
  <autoFilter ref="A1:P67"/>
  <conditionalFormatting sqref="K2:K67">
    <cfRule type="expression" priority="1" dxfId="0">
      <formula>$K2="Pass"</formula>
    </cfRule>
    <cfRule type="expression" priority="2" dxfId="1">
      <formula>$K2="Fail"</formula>
    </cfRule>
    <cfRule type="expression" priority="3" dxfId="2">
      <formula>$K2="Blocked"</formula>
    </cfRule>
    <cfRule type="expression" priority="4" dxfId="3">
      <formula>$K2="N/A"</formula>
    </cfRule>
  </conditionalFormatting>
  <conditionalFormatting sqref="E2:E67">
    <cfRule type="expression" priority="5" dxfId="4">
      <formula>$E2="P0"</formula>
    </cfRule>
  </conditionalFormatting>
  <conditionalFormatting sqref="J2:J67">
    <cfRule type="expression" priority="6" dxfId="4">
      <formula>$J2="Suspected bug"</formula>
    </cfRule>
    <cfRule type="expression" priority="7" dxfId="5">
      <formula>$J2="Needs product call"</formula>
    </cfRule>
  </conditionalFormatting>
  <dataValidations count="2">
    <dataValidation sqref="K2:K67" showDropDown="0" showInputMessage="0" showErrorMessage="1" allowBlank="1" errorTitle="Status" error="Pick Not Run, Pass, Fail, Blocked or N/A." type="list">
      <formula1>"Not Run,Pass,Fail,Blocked,N/A"</formula1>
    </dataValidation>
    <dataValidation sqref="E2:E67" showDropDown="0" showInputMessage="0" showErrorMessage="0" allowBlank="0" type="list">
      <formula1>"P0,P1,P2,P3"</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6" customWidth="1" min="1" max="1"/>
    <col width="60" customWidth="1" min="2" max="2"/>
    <col width="60" customWidth="1" min="3" max="3"/>
  </cols>
  <sheetData>
    <row r="1">
      <c r="A1" s="1" t="inlineStr">
        <is>
          <t>What the PR changes</t>
        </is>
      </c>
    </row>
    <row r="3">
      <c r="A3" s="22" t="n"/>
      <c r="B3" s="22" t="inlineStr">
        <is>
          <t>Before this PR</t>
        </is>
      </c>
      <c r="C3" s="22" t="inlineStr">
        <is>
          <t>After this PR</t>
        </is>
      </c>
    </row>
    <row r="4" ht="42" customHeight="1">
      <c r="A4" s="23" t="inlineStr">
        <is>
          <t>Order (NTD on)</t>
        </is>
      </c>
      <c r="B4" s="17" t="inlineStr">
        <is>
          <t>Proposal page (NTD) → Submit → PO form → Submit → approval</t>
        </is>
      </c>
      <c r="C4" s="17" t="inlineStr">
        <is>
          <t>Awarding → PO form → Submit Proposal → NTD (entity) form → Submit Proposal → approval (final submit)</t>
        </is>
      </c>
    </row>
    <row r="5" ht="42" customHeight="1">
      <c r="A5" s="23" t="inlineStr">
        <is>
          <t>PO form "Submit Proposal"</t>
        </is>
      </c>
      <c r="B5" s="17" t="inlineStr">
        <is>
          <t>Always opened the approval modal</t>
        </is>
      </c>
      <c r="C5" s="17" t="inlineStr">
        <is>
          <t>NTD on: goes to the proposal page (NTD form). NTD off: opens the approval modal, same as before.</t>
        </is>
      </c>
    </row>
    <row r="6" ht="42" customHeight="1">
      <c r="A6" s="23" t="inlineStr">
        <is>
          <t>NTD form "Submit Proposal"</t>
        </is>
      </c>
      <c r="B6" s="17" t="inlineStr">
        <is>
          <t>With skip_custom_po off, created the PO and redirected to the PO form</t>
        </is>
      </c>
      <c r="C6" s="17" t="inlineStr">
        <is>
          <t>Always validates the NTD form, then opens the approval modal. No longer sends you back to the PO form.</t>
        </is>
      </c>
    </row>
    <row r="7" ht="42" customHeight="1">
      <c r="A7" s="23" t="inlineStr">
        <is>
          <t>Where the NTD flag is read</t>
        </is>
      </c>
      <c r="B7" s="17" t="inlineStr">
        <is>
          <t>—</t>
        </is>
      </c>
      <c r="C7" s="17" t="inlineStr">
        <is>
          <t>PO form: custom PO schema config.ntd_required_on_proposal. Proposal page: project config.ntd_required_on_proposal (and skip_custom_po).</t>
        </is>
      </c>
    </row>
    <row r="10">
      <c r="A10" s="1" t="inlineStr">
        <is>
          <t>Test data and setup</t>
        </is>
      </c>
    </row>
    <row r="12">
      <c r="A12" s="22" t="inlineStr">
        <is>
          <t>Name</t>
        </is>
      </c>
      <c r="B12" s="22" t="inlineStr">
        <is>
          <t>Setup</t>
        </is>
      </c>
    </row>
    <row r="13" ht="45" customHeight="1">
      <c r="A13" s="23" t="inlineStr">
        <is>
          <t>P-NTD</t>
        </is>
      </c>
      <c r="B13" s="17" t="inlineStr">
        <is>
          <t>eRFX project, awarding done for at least 2 vendors. ntd_required_on_proposal = true, skip_custom_po = false. At least one NTD proposal template saved with a mix of required and optional fields: text, number, price/amount, dropdown, date, attachment, one grouped-table section and, if the tenant has it, a BOQ section.</t>
        </is>
      </c>
      <c r="C13" s="25" t="n"/>
    </row>
    <row r="14" ht="19" customHeight="1">
      <c r="A14" s="23" t="inlineStr">
        <is>
          <t>P-NTD-LOT</t>
        </is>
      </c>
      <c r="B14" s="17" t="inlineStr">
        <is>
          <t>Same as P-NTD, but lot-based awarding (Lot 1, Lot 2).</t>
        </is>
      </c>
      <c r="C14" s="25" t="n"/>
    </row>
    <row r="15" ht="19" customHeight="1">
      <c r="A15" s="23" t="inlineStr">
        <is>
          <t>P-NO-NTD</t>
        </is>
      </c>
      <c r="B15" s="17" t="inlineStr">
        <is>
          <t>Same as P-NTD, but ntd_required_on_proposal = false.</t>
        </is>
      </c>
      <c r="C15" s="25" t="n"/>
    </row>
    <row r="16" ht="19" customHeight="1">
      <c r="A16" s="23" t="inlineStr">
        <is>
          <t>P-NTD-SKIP</t>
        </is>
      </c>
      <c r="B16" s="17" t="inlineStr">
        <is>
          <t>ntd_required_on_proposal = true, skip_custom_po = true.</t>
        </is>
      </c>
      <c r="C16" s="25" t="n"/>
    </row>
    <row r="17" ht="32" customHeight="1">
      <c r="A17" s="23" t="inlineStr">
        <is>
          <t>Approval flows</t>
        </is>
      </c>
      <c r="B17" s="17" t="inlineStr">
        <is>
          <t>Three variants on the tenant: none, exactly one, and more than one. At least one flow with a step that has approver_select on, so the user has to pick the approver.</t>
        </is>
      </c>
      <c r="C17" s="25" t="n"/>
    </row>
    <row r="18" ht="19" customHeight="1">
      <c r="A18" s="23" t="inlineStr">
        <is>
          <t>Users</t>
        </is>
      </c>
      <c r="B18" s="17" t="inlineStr">
        <is>
          <t>Buyer who owns the proposal and has awarding rights. A second buyer without edit rights on the project, for the negative cases.</t>
        </is>
      </c>
      <c r="C18" s="25" t="n"/>
    </row>
    <row r="20">
      <c r="A20" s="2" t="inlineStr">
        <is>
          <t>"Entity form" = the NTD form: the Document panel on the proposal page, with the Proposal Template dropdown and the template's sections.</t>
        </is>
      </c>
    </row>
  </sheetData>
  <mergeCells count="6">
    <mergeCell ref="B13:C13"/>
    <mergeCell ref="B16:C16"/>
    <mergeCell ref="B15:C15"/>
    <mergeCell ref="B14:C14"/>
    <mergeCell ref="B17:C17"/>
    <mergeCell ref="B18:C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70" customWidth="1" min="2" max="2"/>
    <col width="14" customWidth="1" min="3" max="3"/>
    <col width="12" customWidth="1" min="4" max="4"/>
    <col width="12" customWidth="1" min="5" max="5"/>
    <col width="45" customWidth="1" min="6" max="6"/>
  </cols>
  <sheetData>
    <row r="1">
      <c r="A1" s="24" t="inlineStr">
        <is>
          <t>#</t>
        </is>
      </c>
      <c r="B1" s="24" t="inlineStr">
        <is>
          <t>Question / suspected issue</t>
        </is>
      </c>
      <c r="C1" s="24" t="inlineStr">
        <is>
          <t>Related TC</t>
        </is>
      </c>
      <c r="D1" s="24" t="inlineStr">
        <is>
          <t>Owner</t>
        </is>
      </c>
      <c r="E1" s="24" t="inlineStr">
        <is>
          <t>Status</t>
        </is>
      </c>
      <c r="F1" s="24" t="inlineStr">
        <is>
          <t>Response</t>
        </is>
      </c>
    </row>
    <row r="2" ht="45" customHeight="1">
      <c r="A2" s="18" t="n">
        <v>1</v>
      </c>
      <c r="B2" s="17" t="inlineStr">
        <is>
          <t>The PO → NTD redirect URL has no ?lotNo=. On a lot-based event the proposal page gets an empty lotNo and passes it on to the approval sidebar and the report download.</t>
        </is>
      </c>
      <c r="C2" s="18" t="inlineStr">
        <is>
          <t>NTD-PO-023</t>
        </is>
      </c>
      <c r="D2" s="18" t="inlineStr">
        <is>
          <t>Dev</t>
        </is>
      </c>
      <c r="E2" s="19" t="inlineStr">
        <is>
          <t>Open</t>
        </is>
      </c>
      <c r="F2" s="20" t="n"/>
    </row>
    <row r="3" ht="45" customHeight="1">
      <c r="A3" s="18" t="n">
        <v>2</v>
      </c>
      <c r="B3" s="17" t="inlineStr">
        <is>
          <t>"Submit Proposal" on the PO form redirects without checking PO fields, so a PO with empty mandatory fields can reach the NTD form. Is the final submit blocked by the backend?</t>
        </is>
      </c>
      <c r="C3" s="18" t="inlineStr">
        <is>
          <t>NTD-PO-019</t>
        </is>
      </c>
      <c r="D3" s="18" t="inlineStr">
        <is>
          <t>Dev</t>
        </is>
      </c>
      <c r="E3" s="19" t="inlineStr">
        <is>
          <t>Open</t>
        </is>
      </c>
      <c r="F3" s="20" t="n"/>
    </row>
    <row r="4" ht="45" customHeight="1">
      <c r="A4" s="18" t="n">
        <v>3</v>
      </c>
      <c r="B4" s="17" t="inlineStr">
        <is>
          <t>The step that sent users from the NTD page to the PO form was removed. Opening the NTD page directly (URL / version dropdown) with no PO filled now leads straight to approval.</t>
        </is>
      </c>
      <c r="C4" s="18" t="inlineStr">
        <is>
          <t>NTD-PO-044</t>
        </is>
      </c>
      <c r="D4" s="18" t="inlineStr">
        <is>
          <t>Dev / Product</t>
        </is>
      </c>
      <c r="E4" s="19" t="inlineStr">
        <is>
          <t>Open</t>
        </is>
      </c>
      <c r="F4" s="20" t="n"/>
    </row>
    <row r="5" ht="32" customHeight="1">
      <c r="A5" s="18" t="n">
        <v>4</v>
      </c>
      <c r="B5" s="17" t="inlineStr">
        <is>
          <t>In grouped-table sections the check uses Number(value); Number("") is 0, so a cleared required number/quantity cell counts as filled.</t>
        </is>
      </c>
      <c r="C5" s="18" t="inlineStr">
        <is>
          <t>NTD-PO-036</t>
        </is>
      </c>
      <c r="D5" s="18" t="inlineStr">
        <is>
          <t>Dev</t>
        </is>
      </c>
      <c r="E5" s="19" t="inlineStr">
        <is>
          <t>Open</t>
        </is>
      </c>
      <c r="F5" s="20" t="n"/>
    </row>
    <row r="6" ht="32" customHeight="1">
      <c r="A6" s="18" t="n">
        <v>5</v>
      </c>
      <c r="B6" s="17" t="inlineStr">
        <is>
          <t>The approval modal closes even when submission fails, so remarks and attachments are lost. Acceptable?</t>
        </is>
      </c>
      <c r="C6" s="18" t="inlineStr">
        <is>
          <t>NTD-PO-058</t>
        </is>
      </c>
      <c r="D6" s="18" t="inlineStr">
        <is>
          <t>Product</t>
        </is>
      </c>
      <c r="E6" s="19" t="inlineStr">
        <is>
          <t>Open</t>
        </is>
      </c>
      <c r="F6" s="20" t="n"/>
    </row>
    <row r="7" ht="32" customHeight="1">
      <c r="A7" s="18" t="n">
        <v>6</v>
      </c>
      <c r="B7" s="17" t="inlineStr">
        <is>
          <t>The X on the approval modal resets it to the flow list, the Cancel button does not. Should both behave the same?</t>
        </is>
      </c>
      <c r="C7" s="18" t="inlineStr">
        <is>
          <t>NTD-PO-056</t>
        </is>
      </c>
      <c r="D7" s="18" t="inlineStr">
        <is>
          <t>Product</t>
        </is>
      </c>
      <c r="E7" s="19" t="inlineStr">
        <is>
          <t>Open</t>
        </is>
      </c>
      <c r="F7" s="20" t="n"/>
    </row>
    <row r="8" ht="32" customHeight="1">
      <c r="A8" s="18" t="n">
        <v>7</v>
      </c>
      <c r="B8" s="17" t="inlineStr">
        <is>
          <t>With NTD on, a reorder (?source=reorder) now goes to the NTD form instead of the reorder approval modal. Intended?</t>
        </is>
      </c>
      <c r="C8" s="18" t="inlineStr">
        <is>
          <t>NTD-PO-024</t>
        </is>
      </c>
      <c r="D8" s="18" t="inlineStr">
        <is>
          <t>Product</t>
        </is>
      </c>
      <c r="E8" s="19" t="inlineStr">
        <is>
          <t>Open</t>
        </is>
      </c>
      <c r="F8" s="20" t="n"/>
    </row>
    <row r="9" ht="32" customHeight="1">
      <c r="A9" s="18" t="n">
        <v>8</v>
      </c>
      <c r="B9" s="17" t="inlineStr">
        <is>
          <t>NTD on/off is read from two places (PO schema config vs project config). What should happen if they disagree?</t>
        </is>
      </c>
      <c r="C9" s="18" t="inlineStr">
        <is>
          <t>NTD-PO-064</t>
        </is>
      </c>
      <c r="D9" s="18" t="inlineStr">
        <is>
          <t>Dev</t>
        </is>
      </c>
      <c r="E9" s="19" t="inlineStr">
        <is>
          <t>Open</t>
        </is>
      </c>
      <c r="F9" s="20" t="n"/>
    </row>
    <row r="10" ht="32" customHeight="1">
      <c r="A10" s="18" t="n">
        <v>9</v>
      </c>
      <c r="B10" s="17" t="inlineStr">
        <is>
          <t>Should 0 be accepted in a required plain number field on the NTD form? Only price/amount fields are exempt today.</t>
        </is>
      </c>
      <c r="C10" s="18" t="inlineStr">
        <is>
          <t>NTD-PO-033</t>
        </is>
      </c>
      <c r="D10" s="18" t="inlineStr">
        <is>
          <t>Product</t>
        </is>
      </c>
      <c r="E10" s="19" t="inlineStr">
        <is>
          <t>Open</t>
        </is>
      </c>
      <c r="F10" s="20" t="n"/>
    </row>
  </sheetData>
  <dataValidations count="1">
    <dataValidation sqref="E2:E10" showDropDown="0" showInputMessage="0" showErrorMessage="0" allowBlank="1" type="list">
      <formula1>"Open,Answered,Fixed,Won't fix"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2026-09-23T12:28:24Z</dcterms:created>
  <dcterms:modified xsi:type="dcterms:W3CDTF">2026-09-23T12:28:24Z</dcterms:modified>
</cp:coreProperties>
</file>